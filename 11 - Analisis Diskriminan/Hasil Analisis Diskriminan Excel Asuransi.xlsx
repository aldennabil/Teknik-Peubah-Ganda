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Alden\Kuliah\Semester 5\Teknik-Peubah-Ganda\11 - Analisis Diskriminan\"/>
    </mc:Choice>
  </mc:AlternateContent>
  <xr:revisionPtr revIDLastSave="0" documentId="13_ncr:1_{B0060C56-8DB0-4CA3-A23D-E182497B714D}" xr6:coauthVersionLast="47" xr6:coauthVersionMax="47" xr10:uidLastSave="{00000000-0000-0000-0000-000000000000}"/>
  <bookViews>
    <workbookView xWindow="10140" yWindow="0" windowWidth="10455" windowHeight="10905" xr2:uid="{7468E1F3-9D35-481A-AEF7-2F52FE6D006B}"/>
  </bookViews>
  <sheets>
    <sheet name="Works" sheetId="1" r:id="rId1"/>
    <sheet name="Val"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27" i="1" l="1" a="1"/>
  <c r="H27" i="1" s="1"/>
  <c r="U15" i="1"/>
  <c r="U14" i="1"/>
  <c r="T14" i="1"/>
  <c r="P15" i="1"/>
  <c r="P14" i="1"/>
  <c r="O14" i="1"/>
  <c r="U16" i="1"/>
  <c r="T16" i="1"/>
  <c r="T15" i="1"/>
  <c r="S16" i="1"/>
  <c r="S15" i="1"/>
  <c r="S14" i="1"/>
  <c r="P16" i="1"/>
  <c r="O16" i="1"/>
  <c r="O15" i="1"/>
  <c r="N16" i="1"/>
  <c r="N15" i="1"/>
  <c r="N14" i="1"/>
  <c r="I16" i="1" l="1"/>
  <c r="I15" i="1"/>
  <c r="I14" i="1"/>
  <c r="H14" i="1"/>
  <c r="H16" i="1"/>
  <c r="H15" i="1"/>
  <c r="I13" i="1"/>
  <c r="H13" i="1"/>
  <c r="E55" i="4"/>
  <c r="F55" i="4"/>
  <c r="D55" i="4"/>
  <c r="B55" i="4"/>
  <c r="C55" i="4"/>
  <c r="A55" i="4"/>
  <c r="K14" i="1" l="1" a="1"/>
  <c r="K14" i="1" s="1"/>
  <c r="J14" i="1" a="1"/>
  <c r="J14" i="1" s="1"/>
  <c r="H19" i="1" l="1" a="1"/>
  <c r="H19" i="1" s="1"/>
  <c r="H23" i="1" s="1" a="1"/>
  <c r="H23" i="1" l="1"/>
  <c r="H34" i="1" l="1"/>
  <c r="E6" i="1" l="1"/>
  <c r="E98" i="1"/>
  <c r="E62" i="1"/>
  <c r="E100" i="1"/>
  <c r="E63" i="1"/>
  <c r="E31" i="1"/>
  <c r="E89" i="1"/>
  <c r="E55" i="1"/>
  <c r="E34" i="1"/>
  <c r="E85" i="1"/>
  <c r="E7" i="1"/>
  <c r="E5" i="1"/>
  <c r="E16" i="1"/>
  <c r="E3" i="1"/>
  <c r="E11" i="1"/>
  <c r="E53" i="1"/>
  <c r="E8" i="1"/>
  <c r="E27" i="1"/>
  <c r="E78" i="1"/>
  <c r="E97" i="1"/>
  <c r="E88" i="1"/>
  <c r="E4" i="1"/>
  <c r="E59" i="1"/>
  <c r="E83" i="1"/>
  <c r="E15" i="1"/>
  <c r="E94" i="1"/>
  <c r="E95" i="1"/>
  <c r="E57" i="1"/>
  <c r="E20" i="1"/>
  <c r="E29" i="1"/>
  <c r="E75" i="1"/>
  <c r="E2" i="1"/>
  <c r="E74" i="1"/>
  <c r="E32" i="1"/>
  <c r="E101" i="1"/>
  <c r="E91" i="1"/>
  <c r="E77" i="1"/>
  <c r="E66" i="1"/>
  <c r="E40" i="1"/>
  <c r="E72" i="1"/>
  <c r="E9" i="1"/>
  <c r="E49" i="1"/>
  <c r="E39" i="1"/>
  <c r="E93" i="1"/>
  <c r="E18" i="1"/>
  <c r="E87" i="1"/>
  <c r="E68" i="1"/>
  <c r="E12" i="1"/>
  <c r="E36" i="1"/>
  <c r="E28" i="1"/>
  <c r="E14" i="1"/>
  <c r="E71" i="1"/>
  <c r="E17" i="1"/>
  <c r="E79" i="1"/>
  <c r="E56" i="1"/>
  <c r="E64" i="1"/>
  <c r="E42" i="1"/>
  <c r="E30" i="1"/>
  <c r="E10" i="1"/>
  <c r="E21" i="1"/>
  <c r="E54" i="1"/>
  <c r="E13" i="1"/>
  <c r="E61" i="1"/>
  <c r="E80" i="1"/>
  <c r="E73" i="1"/>
  <c r="E60" i="1"/>
  <c r="E70" i="1"/>
  <c r="E41" i="1"/>
  <c r="E96" i="1"/>
  <c r="E84" i="1"/>
  <c r="E45" i="1"/>
  <c r="E82" i="1"/>
  <c r="E35" i="1"/>
  <c r="E33" i="1"/>
  <c r="E99" i="1"/>
  <c r="E86" i="1"/>
  <c r="E76" i="1"/>
  <c r="E23" i="1"/>
  <c r="E52" i="1"/>
  <c r="E58" i="1"/>
  <c r="E25" i="1"/>
  <c r="E43" i="1"/>
  <c r="E19" i="1"/>
  <c r="E92" i="1"/>
  <c r="E69" i="1"/>
  <c r="E37" i="1"/>
  <c r="E44" i="1"/>
  <c r="E46" i="1"/>
  <c r="E22" i="1"/>
  <c r="E65" i="1"/>
  <c r="E81" i="1"/>
  <c r="E38" i="1"/>
  <c r="E90" i="1"/>
  <c r="E48" i="1"/>
  <c r="E47" i="1"/>
  <c r="E50" i="1"/>
  <c r="E24" i="1"/>
  <c r="E67" i="1"/>
  <c r="E51" i="1"/>
  <c r="E26" i="1"/>
  <c r="I37" i="1" l="1"/>
  <c r="J37" i="1"/>
  <c r="H41" i="1" s="1"/>
  <c r="J38" i="1"/>
  <c r="I38" i="1"/>
  <c r="H42" i="1" l="1"/>
  <c r="H40"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<sst xmlns="http://schemas.openxmlformats.org/spreadsheetml/2006/main" count="152" uniqueCount="31">
  <si>
    <t>tanggungan</t>
  </si>
  <si>
    <t>pendapatan</t>
  </si>
  <si>
    <t>Usia</t>
  </si>
  <si>
    <t>Status</t>
  </si>
  <si>
    <t>Bad</t>
  </si>
  <si>
    <t>Good</t>
  </si>
  <si>
    <r>
      <t xml:space="preserve">b. </t>
    </r>
    <r>
      <rPr>
        <sz val="7"/>
        <color theme="1"/>
        <rFont val="Times New Roman"/>
        <family val="1"/>
      </rPr>
      <t xml:space="preserve"> </t>
    </r>
    <r>
      <rPr>
        <sz val="11"/>
        <color theme="1"/>
        <rFont val="Times New Roman"/>
        <family val="1"/>
      </rPr>
      <t xml:space="preserve">Bagaimana aturan klasifikasinya untuk mengklasifikasikan calon pembeli apakah calon pembeli tersebut akan menjadi penerima kredit yang </t>
    </r>
    <r>
      <rPr>
        <i/>
        <sz val="11"/>
        <color theme="1"/>
        <rFont val="Times New Roman"/>
        <family val="1"/>
      </rPr>
      <t>bad</t>
    </r>
    <r>
      <rPr>
        <sz val="11"/>
        <color theme="1"/>
        <rFont val="Times New Roman"/>
        <family val="1"/>
      </rPr>
      <t xml:space="preserve"> atau </t>
    </r>
    <r>
      <rPr>
        <i/>
        <sz val="11"/>
        <color theme="1"/>
        <rFont val="Times New Roman"/>
        <family val="1"/>
      </rPr>
      <t>good</t>
    </r>
    <r>
      <rPr>
        <sz val="11"/>
        <color theme="1"/>
        <rFont val="Times New Roman"/>
        <family val="1"/>
      </rPr>
      <t>?</t>
    </r>
  </si>
  <si>
    <t>a. Bagaimana model yang terbentuk?</t>
  </si>
  <si>
    <r>
      <t>c.</t>
    </r>
    <r>
      <rPr>
        <sz val="7"/>
        <color theme="1"/>
        <rFont val="Times New Roman"/>
        <family val="1"/>
      </rPr>
      <t xml:space="preserve">  </t>
    </r>
    <r>
      <rPr>
        <sz val="11"/>
        <color theme="1"/>
        <rFont val="Times New Roman"/>
        <family val="1"/>
      </rPr>
      <t>Berapa besarnya kesalahan klasifikasi dari model yang terbentuk?</t>
    </r>
  </si>
  <si>
    <t xml:space="preserve">Sebuah perusahaan penjualan mobil meminta Anda untuk membantu membuatkan model yang dapat dijadikan sebagai acuan dalam penerimaan calon pembeli kredit. Penyusunan model didasarkan pada data karakteristik pembeli dengan status kelancaran pembayaran kreditnya yang telah lunas pada setahun terakhir. Karakteristik pembeli meliputi usia (tahun), pendapatan (juta rupiah), dan jumlah tanggungan dalam keluarga. Status kelancaran pembayaran dikategorikan menjadi dua, yaitu bad dan good. Good  jika pembayaran kreditnya tergolong lancar dan Bad jika tidak lancar.  </t>
  </si>
  <si>
    <t>Usiagood</t>
  </si>
  <si>
    <t>n</t>
  </si>
  <si>
    <t>Avg Tanggungan</t>
  </si>
  <si>
    <t>Avg Pendapatan</t>
  </si>
  <si>
    <t>Avg Usia</t>
  </si>
  <si>
    <t>Cov Good</t>
  </si>
  <si>
    <t>Cov Bad</t>
  </si>
  <si>
    <t>Spooled</t>
  </si>
  <si>
    <t>Spooled Inverse</t>
  </si>
  <si>
    <t>Diff</t>
  </si>
  <si>
    <t>Alpha</t>
  </si>
  <si>
    <t>A.  Model:</t>
  </si>
  <si>
    <t>Sum</t>
  </si>
  <si>
    <t>Predict</t>
  </si>
  <si>
    <t>C. Kesalahan Klasifikasi:</t>
  </si>
  <si>
    <t xml:space="preserve">B. Aturan Klasifikasi (h): </t>
  </si>
  <si>
    <t>Akt/Pred</t>
  </si>
  <si>
    <t>AER</t>
  </si>
  <si>
    <t>Good Classed as Bad</t>
  </si>
  <si>
    <t>Bad Classed as Good</t>
  </si>
  <si>
    <t>Y = 0.3594*Tanggungan - 0.3312*Pendapatan - 0.0327*Usia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</si>
</sst>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00000000"/>
  </numFmts>
  <fonts count="8" x14ac:knownFonts="1">
    <font>
      <sz val="11"/>
      <color theme="1"/>
      <name val="Aptos Narrow"/>
      <family val="2"/>
      <scheme val="minor"/>
    </font>
    <font>
      <sz val="11"/>
      <color rgb="FF000000"/>
      <name val="Times New Roman"/>
      <family val="1"/>
    </font>
    <font>
      <sz val="11"/>
      <color theme="1"/>
      <name val="Times New Roman"/>
      <family val="1"/>
    </font>
    <font>
      <i/>
      <sz val="11"/>
      <color theme="1"/>
      <name val="Times New Roman"/>
      <family val="1"/>
    </font>
    <font>
      <sz val="7"/>
      <color theme="1"/>
      <name val="Times New Roman"/>
      <family val="1"/>
    </font>
    <font>
      <sz val="12"/>
      <color theme="1"/>
      <name val="Times New Roman"/>
      <family val="1"/>
    </font>
    <font>
      <sz val="14"/>
      <color theme="1"/>
      <name val="Times New Roman"/>
      <family val="1"/>
    </font>
    <font>
      <i/>
      <sz val="11"/>
      <color theme="1"/>
      <name val="Aptos Narrow"/>
      <family val="2"/>
      <scheme val="minor"/>
    </font>
  </fonts>
  <fills count="2">
    <fill>
      <patternFill patternType="none"/>
    </fill>
    <fill>
      <patternFill patternType="gray125"/>
    </fill>
  </fills>
  <borders count="5">
    <border>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xf>
    <xf numFmtId="0" fontId="2" fillId="0" borderId="0" xfId="0" applyFont="1" applyAlignment="1">
      <alignment vertical="top" wrapText="1"/>
    </xf>
    <xf numFmtId="0" fontId="0" fillId="0" borderId="2" xfId="0" applyBorder="1"/>
    <xf numFmtId="0" fontId="7" fillId="0" borderId="3" xfId="0" applyFont="1" applyBorder="1" applyAlignment="1">
      <alignment horizontal="center"/>
    </xf>
    <xf numFmtId="0" fontId="1" fillId="0" borderId="4" xfId="0" applyFont="1" applyBorder="1" applyAlignment="1">
      <alignment horizontal="center" vertical="center"/>
    </xf>
    <xf numFmtId="0" fontId="0" fillId="0" borderId="4" xfId="0" applyBorder="1"/>
    <xf numFmtId="0" fontId="1" fillId="0" borderId="0" xfId="0" applyFont="1" applyAlignment="1">
      <alignment horizontal="center" vertical="center"/>
    </xf>
    <xf numFmtId="0" fontId="6"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lignment horizontal="left" vertical="top"/>
    </xf>
    <xf numFmtId="0" fontId="2" fillId="0" borderId="0" xfId="0" applyFont="1" applyAlignment="1">
      <alignment horizontal="left" vertical="top"/>
    </xf>
    <xf numFmtId="17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CEC51-1AD2-4370-BD98-1EF08F6BE108}">
  <dimension ref="A1:X101"/>
  <sheetViews>
    <sheetView tabSelected="1" topLeftCell="C26" zoomScale="95" workbookViewId="0">
      <selection activeCell="I37" sqref="I37"/>
    </sheetView>
  </sheetViews>
  <sheetFormatPr defaultRowHeight="15" x14ac:dyDescent="0.25"/>
  <cols>
    <col min="1" max="2" width="10.5703125" bestFit="1" customWidth="1"/>
    <col min="3" max="3" width="4.85546875" bestFit="1" customWidth="1"/>
    <col min="4" max="4" width="6.140625" bestFit="1" customWidth="1"/>
    <col min="7" max="7" width="18.85546875" customWidth="1"/>
    <col min="8" max="8" width="14.85546875" customWidth="1"/>
  </cols>
  <sheetData>
    <row r="1" spans="1:24" ht="15.75" customHeight="1" x14ac:dyDescent="0.25">
      <c r="A1" s="5" t="s">
        <v>0</v>
      </c>
      <c r="B1" s="5" t="s">
        <v>1</v>
      </c>
      <c r="C1" s="5" t="s">
        <v>2</v>
      </c>
      <c r="D1" s="5" t="s">
        <v>3</v>
      </c>
      <c r="E1" s="5" t="s">
        <v>23</v>
      </c>
      <c r="F1" s="7"/>
      <c r="G1" s="8" t="s">
        <v>9</v>
      </c>
      <c r="H1" s="9"/>
      <c r="I1" s="9"/>
      <c r="J1" s="9"/>
      <c r="K1" s="9"/>
      <c r="L1" s="9"/>
      <c r="M1" s="9"/>
      <c r="N1" s="9"/>
      <c r="O1" s="9"/>
      <c r="P1" s="9"/>
      <c r="Q1" s="9"/>
      <c r="R1" s="9"/>
      <c r="S1" s="9"/>
      <c r="T1" s="9"/>
      <c r="U1" s="9"/>
      <c r="V1" s="2"/>
      <c r="W1" s="2"/>
      <c r="X1" s="2"/>
    </row>
    <row r="2" spans="1:24" x14ac:dyDescent="0.25">
      <c r="A2" s="5">
        <v>6</v>
      </c>
      <c r="B2" s="5">
        <v>10</v>
      </c>
      <c r="C2" s="5">
        <v>39</v>
      </c>
      <c r="D2" s="5" t="s">
        <v>4</v>
      </c>
      <c r="E2" s="6" t="str">
        <f t="shared" ref="E2:E33" si="0">IF($H$27*A2+$H$28*B2+$H$29*C2 &gt;=$H$34, "Bad", "Good")</f>
        <v>Bad</v>
      </c>
      <c r="G2" s="9"/>
      <c r="H2" s="9"/>
      <c r="I2" s="9"/>
      <c r="J2" s="9"/>
      <c r="K2" s="9"/>
      <c r="L2" s="9"/>
      <c r="M2" s="9"/>
      <c r="N2" s="9"/>
      <c r="O2" s="9"/>
      <c r="P2" s="9"/>
      <c r="Q2" s="9"/>
      <c r="R2" s="9"/>
      <c r="S2" s="9"/>
      <c r="T2" s="9"/>
      <c r="U2" s="9"/>
      <c r="V2" s="2"/>
      <c r="W2" s="2"/>
      <c r="X2" s="2"/>
    </row>
    <row r="3" spans="1:24" x14ac:dyDescent="0.25">
      <c r="A3" s="5">
        <v>1</v>
      </c>
      <c r="B3" s="5">
        <v>9</v>
      </c>
      <c r="C3" s="5">
        <v>49</v>
      </c>
      <c r="D3" s="5" t="s">
        <v>4</v>
      </c>
      <c r="E3" s="6" t="str">
        <f t="shared" si="0"/>
        <v>Good</v>
      </c>
      <c r="G3" s="9"/>
      <c r="H3" s="9"/>
      <c r="I3" s="9"/>
      <c r="J3" s="9"/>
      <c r="K3" s="9"/>
      <c r="L3" s="9"/>
      <c r="M3" s="9"/>
      <c r="N3" s="9"/>
      <c r="O3" s="9"/>
      <c r="P3" s="9"/>
      <c r="Q3" s="9"/>
      <c r="R3" s="9"/>
      <c r="S3" s="9"/>
      <c r="T3" s="9"/>
      <c r="U3" s="9"/>
      <c r="V3" s="2"/>
      <c r="W3" s="2"/>
      <c r="X3" s="2"/>
    </row>
    <row r="4" spans="1:24" x14ac:dyDescent="0.25">
      <c r="A4" s="5">
        <v>2</v>
      </c>
      <c r="B4" s="5">
        <v>4.8</v>
      </c>
      <c r="C4" s="5">
        <v>35</v>
      </c>
      <c r="D4" s="5" t="s">
        <v>4</v>
      </c>
      <c r="E4" s="6" t="str">
        <f t="shared" si="0"/>
        <v>Bad</v>
      </c>
      <c r="G4" s="9"/>
      <c r="H4" s="9"/>
      <c r="I4" s="9"/>
      <c r="J4" s="9"/>
      <c r="K4" s="9"/>
      <c r="L4" s="9"/>
      <c r="M4" s="9"/>
      <c r="N4" s="9"/>
      <c r="O4" s="9"/>
      <c r="P4" s="9"/>
      <c r="Q4" s="9"/>
      <c r="R4" s="9"/>
      <c r="S4" s="9"/>
      <c r="T4" s="9"/>
      <c r="U4" s="9"/>
      <c r="V4" s="2"/>
      <c r="W4" s="2"/>
      <c r="X4" s="2"/>
    </row>
    <row r="5" spans="1:24" x14ac:dyDescent="0.25">
      <c r="A5" s="5">
        <v>0</v>
      </c>
      <c r="B5" s="5">
        <v>4.9000000000000004</v>
      </c>
      <c r="C5" s="5">
        <v>52</v>
      </c>
      <c r="D5" s="5" t="s">
        <v>4</v>
      </c>
      <c r="E5" s="6" t="str">
        <f t="shared" si="0"/>
        <v>Bad</v>
      </c>
      <c r="G5" s="9"/>
      <c r="H5" s="9"/>
      <c r="I5" s="9"/>
      <c r="J5" s="9"/>
      <c r="K5" s="9"/>
      <c r="L5" s="9"/>
      <c r="M5" s="9"/>
      <c r="N5" s="9"/>
      <c r="O5" s="9"/>
      <c r="P5" s="9"/>
      <c r="Q5" s="9"/>
      <c r="R5" s="9"/>
      <c r="S5" s="9"/>
      <c r="T5" s="9"/>
      <c r="U5" s="9"/>
      <c r="V5" s="2"/>
      <c r="W5" s="2"/>
      <c r="X5" s="2"/>
    </row>
    <row r="6" spans="1:24" x14ac:dyDescent="0.25">
      <c r="A6" s="5">
        <v>1</v>
      </c>
      <c r="B6" s="5">
        <v>4.7</v>
      </c>
      <c r="C6" s="5">
        <v>34</v>
      </c>
      <c r="D6" s="5" t="s">
        <v>4</v>
      </c>
      <c r="E6" s="6" t="str">
        <f t="shared" si="0"/>
        <v>Bad</v>
      </c>
      <c r="G6" s="9"/>
      <c r="H6" s="9"/>
      <c r="I6" s="9"/>
      <c r="J6" s="9"/>
      <c r="K6" s="9"/>
      <c r="L6" s="9"/>
      <c r="M6" s="9"/>
      <c r="N6" s="9"/>
      <c r="O6" s="9"/>
      <c r="P6" s="9"/>
      <c r="Q6" s="9"/>
      <c r="R6" s="9"/>
      <c r="S6" s="9"/>
      <c r="T6" s="9"/>
      <c r="U6" s="9"/>
      <c r="V6" s="2"/>
      <c r="W6" s="2"/>
      <c r="X6" s="2"/>
    </row>
    <row r="7" spans="1:24" x14ac:dyDescent="0.25">
      <c r="A7" s="5">
        <v>3</v>
      </c>
      <c r="B7" s="5">
        <v>2.4</v>
      </c>
      <c r="C7" s="5">
        <v>44</v>
      </c>
      <c r="D7" s="5" t="s">
        <v>4</v>
      </c>
      <c r="E7" s="6" t="str">
        <f t="shared" si="0"/>
        <v>Bad</v>
      </c>
      <c r="G7" s="9"/>
      <c r="H7" s="9"/>
      <c r="I7" s="9"/>
      <c r="J7" s="9"/>
      <c r="K7" s="9"/>
      <c r="L7" s="9"/>
      <c r="M7" s="9"/>
      <c r="N7" s="9"/>
      <c r="O7" s="9"/>
      <c r="P7" s="9"/>
      <c r="Q7" s="9"/>
      <c r="R7" s="9"/>
      <c r="S7" s="9"/>
      <c r="T7" s="9"/>
      <c r="U7" s="9"/>
      <c r="V7" s="2"/>
      <c r="W7" s="2"/>
      <c r="X7" s="2"/>
    </row>
    <row r="8" spans="1:24" x14ac:dyDescent="0.25">
      <c r="A8" s="5">
        <v>3</v>
      </c>
      <c r="B8" s="5">
        <v>4.5999999999999996</v>
      </c>
      <c r="C8" s="5">
        <v>37</v>
      </c>
      <c r="D8" s="5" t="s">
        <v>4</v>
      </c>
      <c r="E8" s="6" t="str">
        <f t="shared" si="0"/>
        <v>Bad</v>
      </c>
      <c r="G8" s="10" t="s">
        <v>7</v>
      </c>
      <c r="H8" s="10"/>
      <c r="I8" s="10"/>
      <c r="J8" s="10"/>
      <c r="K8" s="10"/>
      <c r="L8" s="10"/>
      <c r="M8" s="10"/>
      <c r="N8" s="10"/>
      <c r="O8" s="10"/>
      <c r="P8" s="10"/>
      <c r="Q8" s="10"/>
      <c r="R8" s="10"/>
      <c r="S8" s="10"/>
      <c r="T8" s="10"/>
      <c r="U8" s="10"/>
    </row>
    <row r="9" spans="1:24" x14ac:dyDescent="0.25">
      <c r="A9" s="5">
        <v>2</v>
      </c>
      <c r="B9" s="5">
        <v>4.9000000000000004</v>
      </c>
      <c r="C9" s="5">
        <v>56</v>
      </c>
      <c r="D9" s="5" t="s">
        <v>4</v>
      </c>
      <c r="E9" s="6" t="str">
        <f t="shared" si="0"/>
        <v>Bad</v>
      </c>
      <c r="G9" s="11" t="s">
        <v>6</v>
      </c>
      <c r="H9" s="11"/>
      <c r="I9" s="11"/>
      <c r="J9" s="11"/>
      <c r="K9" s="11"/>
      <c r="L9" s="11"/>
      <c r="M9" s="11"/>
      <c r="N9" s="11"/>
      <c r="O9" s="11"/>
      <c r="P9" s="11"/>
      <c r="Q9" s="11"/>
      <c r="R9" s="11"/>
      <c r="S9" s="11"/>
      <c r="T9" s="11"/>
      <c r="U9" s="11"/>
    </row>
    <row r="10" spans="1:24" x14ac:dyDescent="0.25">
      <c r="A10" s="5">
        <v>4</v>
      </c>
      <c r="B10" s="5">
        <v>8</v>
      </c>
      <c r="C10" s="5">
        <v>35</v>
      </c>
      <c r="D10" s="5" t="s">
        <v>4</v>
      </c>
      <c r="E10" s="6" t="str">
        <f t="shared" si="0"/>
        <v>Bad</v>
      </c>
      <c r="G10" s="11" t="s">
        <v>8</v>
      </c>
      <c r="H10" s="11"/>
      <c r="I10" s="11"/>
      <c r="J10" s="11"/>
      <c r="K10" s="11"/>
      <c r="L10" s="11"/>
      <c r="M10" s="11"/>
      <c r="N10" s="11"/>
      <c r="O10" s="11"/>
      <c r="P10" s="11"/>
      <c r="Q10" s="11"/>
      <c r="R10" s="11"/>
      <c r="S10" s="11"/>
      <c r="T10" s="11"/>
      <c r="U10" s="11"/>
    </row>
    <row r="11" spans="1:24" x14ac:dyDescent="0.25">
      <c r="A11" s="5">
        <v>1</v>
      </c>
      <c r="B11" s="5">
        <v>8.3000000000000007</v>
      </c>
      <c r="C11" s="5">
        <v>49</v>
      </c>
      <c r="D11" s="5" t="s">
        <v>4</v>
      </c>
      <c r="E11" s="6" t="str">
        <f t="shared" si="0"/>
        <v>Good</v>
      </c>
    </row>
    <row r="12" spans="1:24" ht="15.75" thickBot="1" x14ac:dyDescent="0.3">
      <c r="A12" s="5">
        <v>3</v>
      </c>
      <c r="B12" s="5">
        <v>8</v>
      </c>
      <c r="C12" s="5">
        <v>49</v>
      </c>
      <c r="D12" s="5" t="s">
        <v>4</v>
      </c>
      <c r="E12" s="6" t="str">
        <f t="shared" si="0"/>
        <v>Bad</v>
      </c>
      <c r="H12" t="s">
        <v>4</v>
      </c>
      <c r="I12" t="s">
        <v>5</v>
      </c>
      <c r="J12" t="s">
        <v>19</v>
      </c>
      <c r="K12" t="s">
        <v>22</v>
      </c>
      <c r="M12" t="s">
        <v>16</v>
      </c>
      <c r="R12" t="s">
        <v>15</v>
      </c>
    </row>
    <row r="13" spans="1:24" x14ac:dyDescent="0.25">
      <c r="A13" s="5">
        <v>1</v>
      </c>
      <c r="B13" s="5">
        <v>4.2</v>
      </c>
      <c r="C13" s="5">
        <v>36</v>
      </c>
      <c r="D13" s="5" t="s">
        <v>4</v>
      </c>
      <c r="E13" s="6" t="str">
        <f t="shared" si="0"/>
        <v>Bad</v>
      </c>
      <c r="G13" t="s">
        <v>11</v>
      </c>
      <c r="H13">
        <f>COUNTIF(D2:D101, "Bad")</f>
        <v>47</v>
      </c>
      <c r="I13">
        <f>COUNTIF(D3:D101, "Good")</f>
        <v>53</v>
      </c>
      <c r="M13" s="4"/>
      <c r="N13" s="4" t="s">
        <v>0</v>
      </c>
      <c r="O13" s="4" t="s">
        <v>1</v>
      </c>
      <c r="P13" s="4" t="s">
        <v>2</v>
      </c>
      <c r="S13" s="4" t="s">
        <v>0</v>
      </c>
      <c r="T13" s="4" t="s">
        <v>1</v>
      </c>
      <c r="U13" s="4" t="s">
        <v>2</v>
      </c>
    </row>
    <row r="14" spans="1:24" x14ac:dyDescent="0.25">
      <c r="A14" s="5">
        <v>2</v>
      </c>
      <c r="B14" s="5">
        <v>3.1</v>
      </c>
      <c r="C14" s="5">
        <v>55</v>
      </c>
      <c r="D14" s="5" t="s">
        <v>4</v>
      </c>
      <c r="E14" s="6" t="str">
        <f t="shared" si="0"/>
        <v>Bad</v>
      </c>
      <c r="G14" t="s">
        <v>12</v>
      </c>
      <c r="H14">
        <f>AVERAGEIFS(A2:A101,D2:D101, "Bad")</f>
        <v>2.1276595744680851</v>
      </c>
      <c r="I14">
        <f>AVERAGEIFS(A2:A101,D2:D101, "Good")</f>
        <v>1.679245283018868</v>
      </c>
      <c r="J14" cm="1">
        <f t="array" ref="J14:J16">H14:H16 -I14:I16</f>
        <v>0.44841429144921707</v>
      </c>
      <c r="K14" cm="1">
        <f t="array" ref="K14:K16">H14:H16+I14:I16</f>
        <v>3.8069048574869528</v>
      </c>
      <c r="M14" t="s">
        <v>0</v>
      </c>
      <c r="N14">
        <f>_xlfn.COVARIANCE.S(A2:A48,A2:A48)</f>
        <v>1.7224791859389448</v>
      </c>
      <c r="O14">
        <f>N15</f>
        <v>1.0569842738205362</v>
      </c>
      <c r="P14">
        <f>N16</f>
        <v>-0.10592044403330246</v>
      </c>
      <c r="R14" t="s">
        <v>0</v>
      </c>
      <c r="S14">
        <f>_xlfn.COVARIANCE.S(A49:A101,A49:A101)</f>
        <v>1.5682148040638615</v>
      </c>
      <c r="T14">
        <f>S15</f>
        <v>-0.16331640058055166</v>
      </c>
      <c r="U14">
        <f>S16</f>
        <v>0.41872278664731544</v>
      </c>
    </row>
    <row r="15" spans="1:24" x14ac:dyDescent="0.25">
      <c r="A15" s="5">
        <v>2</v>
      </c>
      <c r="B15" s="5">
        <v>6.8</v>
      </c>
      <c r="C15" s="5">
        <v>40</v>
      </c>
      <c r="D15" s="5" t="s">
        <v>4</v>
      </c>
      <c r="E15" s="6" t="str">
        <f t="shared" si="0"/>
        <v>Bad</v>
      </c>
      <c r="G15" t="s">
        <v>13</v>
      </c>
      <c r="H15">
        <f>AVERAGEIFS(B2:B101,D2:D101, "Bad")</f>
        <v>7.1297872340425545</v>
      </c>
      <c r="I15">
        <f>AVERAGEIFS(B2:B101,D2:D101, "Good")</f>
        <v>11.388679245283019</v>
      </c>
      <c r="J15">
        <v>-4.258892011240464</v>
      </c>
      <c r="K15">
        <v>18.518466479325575</v>
      </c>
      <c r="M15" t="s">
        <v>1</v>
      </c>
      <c r="N15">
        <f>_xlfn.COVARIANCE.S(A2:A48,B2:B48)</f>
        <v>1.0569842738205362</v>
      </c>
      <c r="O15">
        <f>_xlfn.COVARIANCE.S(B2:B48,B2:B48)</f>
        <v>10.073441258094356</v>
      </c>
      <c r="P15">
        <f>O16</f>
        <v>-1.6623959296947273</v>
      </c>
      <c r="R15" t="s">
        <v>1</v>
      </c>
      <c r="S15">
        <f>_xlfn.COVARIANCE.S(A49:A101,B49:B101)</f>
        <v>-0.16331640058055166</v>
      </c>
      <c r="T15">
        <f>_xlfn.COVARIANCE.S(B49:B101,B49:B101)</f>
        <v>16.092946298984032</v>
      </c>
      <c r="U15">
        <f>T16</f>
        <v>2.1635341074020307</v>
      </c>
    </row>
    <row r="16" spans="1:24" ht="15.75" thickBot="1" x14ac:dyDescent="0.3">
      <c r="A16" s="5">
        <v>2</v>
      </c>
      <c r="B16" s="5">
        <v>7.4</v>
      </c>
      <c r="C16" s="5">
        <v>34</v>
      </c>
      <c r="D16" s="5" t="s">
        <v>4</v>
      </c>
      <c r="E16" s="6" t="str">
        <f t="shared" si="0"/>
        <v>Bad</v>
      </c>
      <c r="G16" t="s">
        <v>14</v>
      </c>
      <c r="H16">
        <f>AVERAGEIFS(C2:C101,D2:D101, "Bad")</f>
        <v>44.978723404255319</v>
      </c>
      <c r="I16">
        <f>AVERAGEIFS(C2:C101,D2:D101, "Good")</f>
        <v>47.339622641509436</v>
      </c>
      <c r="J16">
        <v>-2.3608992372541167</v>
      </c>
      <c r="K16">
        <v>92.318346045764756</v>
      </c>
      <c r="M16" s="3" t="s">
        <v>2</v>
      </c>
      <c r="N16" s="3">
        <f>_xlfn.COVARIANCE.S(A2:A48,C2:C48)</f>
        <v>-0.10592044403330246</v>
      </c>
      <c r="O16" s="3">
        <f>_xlfn.COVARIANCE.S(B2:B48,C2:C48)</f>
        <v>-1.6623959296947273</v>
      </c>
      <c r="P16" s="3">
        <f>_xlfn.COVARIANCE.S(C2:C48,C2:C48)</f>
        <v>50.543015726179462</v>
      </c>
      <c r="R16" s="3" t="s">
        <v>2</v>
      </c>
      <c r="S16" s="3">
        <f>_xlfn.COVARIANCE.S(A49:A101,C49:C101)</f>
        <v>0.41872278664731544</v>
      </c>
      <c r="T16" s="3">
        <f>_xlfn.COVARIANCE.S(B49:B101,C49:C101)</f>
        <v>2.1635341074020307</v>
      </c>
      <c r="U16" s="3">
        <f>_xlfn.COVARIANCE.S(C49:C101,C49:C101)</f>
        <v>87.882438316400567</v>
      </c>
    </row>
    <row r="17" spans="1:10" x14ac:dyDescent="0.25">
      <c r="A17" s="5">
        <v>1</v>
      </c>
      <c r="B17" s="5">
        <v>7</v>
      </c>
      <c r="C17" s="5">
        <v>34</v>
      </c>
      <c r="D17" s="5" t="s">
        <v>4</v>
      </c>
      <c r="E17" s="6" t="str">
        <f t="shared" si="0"/>
        <v>Bad</v>
      </c>
    </row>
    <row r="18" spans="1:10" x14ac:dyDescent="0.25">
      <c r="A18" s="5">
        <v>1</v>
      </c>
      <c r="B18" s="5">
        <v>7.8</v>
      </c>
      <c r="C18" s="5">
        <v>48</v>
      </c>
      <c r="D18" s="5" t="s">
        <v>4</v>
      </c>
      <c r="E18" s="6" t="str">
        <f t="shared" si="0"/>
        <v>Bad</v>
      </c>
    </row>
    <row r="19" spans="1:10" x14ac:dyDescent="0.25">
      <c r="A19" s="5">
        <v>1</v>
      </c>
      <c r="B19" s="5">
        <v>8.1999999999999993</v>
      </c>
      <c r="C19" s="5">
        <v>49</v>
      </c>
      <c r="D19" s="5" t="s">
        <v>4</v>
      </c>
      <c r="E19" s="6" t="str">
        <f t="shared" si="0"/>
        <v>Good</v>
      </c>
      <c r="G19" t="s">
        <v>17</v>
      </c>
      <c r="H19" cm="1">
        <f t="array" ref="H19:J21">(((H13-1)*N14:P16+(I13-1)*S14:U16))/(H13+I13-2)</f>
        <v>1.6406246159644109</v>
      </c>
      <c r="I19">
        <v>0.40947779352608143</v>
      </c>
      <c r="J19">
        <v>0.17246167836865806</v>
      </c>
    </row>
    <row r="20" spans="1:10" x14ac:dyDescent="0.25">
      <c r="A20" s="5">
        <v>0</v>
      </c>
      <c r="B20" s="5">
        <v>4.5</v>
      </c>
      <c r="C20" s="5">
        <v>43</v>
      </c>
      <c r="D20" s="5" t="s">
        <v>4</v>
      </c>
      <c r="E20" s="6" t="str">
        <f t="shared" si="0"/>
        <v>Bad</v>
      </c>
      <c r="H20">
        <v>0.40947779352608143</v>
      </c>
      <c r="I20">
        <v>13.26746434101541</v>
      </c>
      <c r="J20">
        <v>0.36768939611171564</v>
      </c>
    </row>
    <row r="21" spans="1:10" x14ac:dyDescent="0.25">
      <c r="A21" s="5">
        <v>3</v>
      </c>
      <c r="B21" s="5">
        <v>8.1</v>
      </c>
      <c r="C21" s="5">
        <v>39</v>
      </c>
      <c r="D21" s="5" t="s">
        <v>4</v>
      </c>
      <c r="E21" s="6" t="str">
        <f t="shared" si="0"/>
        <v>Bad</v>
      </c>
      <c r="H21">
        <v>0.17246167836865806</v>
      </c>
      <c r="I21">
        <v>0.36768939611171564</v>
      </c>
      <c r="J21">
        <v>70.355770569970247</v>
      </c>
    </row>
    <row r="22" spans="1:10" x14ac:dyDescent="0.25">
      <c r="A22" s="5">
        <v>2</v>
      </c>
      <c r="B22" s="5">
        <v>6.6</v>
      </c>
      <c r="C22" s="5">
        <v>48</v>
      </c>
      <c r="D22" s="5" t="s">
        <v>4</v>
      </c>
      <c r="E22" s="6" t="str">
        <f t="shared" si="0"/>
        <v>Bad</v>
      </c>
    </row>
    <row r="23" spans="1:10" x14ac:dyDescent="0.25">
      <c r="A23" s="5">
        <v>4</v>
      </c>
      <c r="B23" s="5">
        <v>19.8</v>
      </c>
      <c r="C23" s="5">
        <v>41</v>
      </c>
      <c r="D23" s="5" t="s">
        <v>4</v>
      </c>
      <c r="E23" s="6" t="str">
        <f t="shared" si="0"/>
        <v>Good</v>
      </c>
      <c r="G23" t="s">
        <v>18</v>
      </c>
      <c r="H23" cm="1">
        <f t="array" ref="H23:J25">MINVERSE(_xlfn.ANCHORARRAY(H19))</f>
        <v>0.61439486224062312</v>
      </c>
      <c r="I23">
        <v>-1.892325835621253E-2</v>
      </c>
      <c r="J23">
        <v>-1.4071580324342742E-3</v>
      </c>
    </row>
    <row r="24" spans="1:10" x14ac:dyDescent="0.25">
      <c r="A24" s="5">
        <v>1</v>
      </c>
      <c r="B24" s="5">
        <v>7.8</v>
      </c>
      <c r="C24" s="5">
        <v>34</v>
      </c>
      <c r="D24" s="5" t="s">
        <v>4</v>
      </c>
      <c r="E24" s="6" t="str">
        <f t="shared" si="0"/>
        <v>Bad</v>
      </c>
      <c r="H24">
        <v>-1.8923258356212527E-2</v>
      </c>
      <c r="I24">
        <v>7.5966103903076565E-2</v>
      </c>
      <c r="J24">
        <v>-3.5062360589502322E-4</v>
      </c>
    </row>
    <row r="25" spans="1:10" x14ac:dyDescent="0.25">
      <c r="A25" s="5">
        <v>2</v>
      </c>
      <c r="B25" s="5">
        <v>4.5999999999999996</v>
      </c>
      <c r="C25" s="5">
        <v>46</v>
      </c>
      <c r="D25" s="5" t="s">
        <v>4</v>
      </c>
      <c r="E25" s="6" t="str">
        <f t="shared" si="0"/>
        <v>Bad</v>
      </c>
      <c r="H25">
        <v>-1.4071580324342744E-3</v>
      </c>
      <c r="I25">
        <v>-3.5062360589502322E-4</v>
      </c>
      <c r="J25">
        <v>1.4218756945075708E-2</v>
      </c>
    </row>
    <row r="26" spans="1:10" x14ac:dyDescent="0.25">
      <c r="A26" s="5">
        <v>0</v>
      </c>
      <c r="B26" s="5">
        <v>7.4</v>
      </c>
      <c r="C26" s="5">
        <v>45</v>
      </c>
      <c r="D26" s="5" t="s">
        <v>4</v>
      </c>
      <c r="E26" s="6" t="str">
        <f t="shared" si="0"/>
        <v>Good</v>
      </c>
    </row>
    <row r="27" spans="1:10" x14ac:dyDescent="0.25">
      <c r="A27" s="5">
        <v>4</v>
      </c>
      <c r="B27" s="5">
        <v>5.5</v>
      </c>
      <c r="C27" s="5">
        <v>46</v>
      </c>
      <c r="D27" s="5" t="s">
        <v>4</v>
      </c>
      <c r="E27" s="6" t="str">
        <f t="shared" si="0"/>
        <v>Bad</v>
      </c>
      <c r="G27" t="s">
        <v>20</v>
      </c>
      <c r="H27" s="12" cm="1">
        <f t="array" ref="H27:H29">MMULT(_xlfn.ANCHORARRAY(H23),_xlfn.ANCHORARRAY(J14))</f>
        <v>0.35941770898705128</v>
      </c>
    </row>
    <row r="28" spans="1:10" x14ac:dyDescent="0.25">
      <c r="A28" s="5">
        <v>3</v>
      </c>
      <c r="B28" s="5">
        <v>16.399999999999999</v>
      </c>
      <c r="C28" s="5">
        <v>53</v>
      </c>
      <c r="D28" s="5" t="s">
        <v>4</v>
      </c>
      <c r="E28" s="6" t="str">
        <f t="shared" si="0"/>
        <v>Good</v>
      </c>
      <c r="H28" s="12">
        <v>-0.33118910552186648</v>
      </c>
    </row>
    <row r="29" spans="1:10" x14ac:dyDescent="0.25">
      <c r="A29" s="5">
        <v>1</v>
      </c>
      <c r="B29" s="5">
        <v>7.6</v>
      </c>
      <c r="C29" s="5">
        <v>34</v>
      </c>
      <c r="D29" s="5" t="s">
        <v>4</v>
      </c>
      <c r="E29" s="6" t="str">
        <f t="shared" si="0"/>
        <v>Bad</v>
      </c>
      <c r="H29" s="12">
        <v>-3.270677412430336E-2</v>
      </c>
    </row>
    <row r="30" spans="1:10" x14ac:dyDescent="0.25">
      <c r="A30" s="5">
        <v>2</v>
      </c>
      <c r="B30" s="5">
        <v>4.9000000000000004</v>
      </c>
      <c r="C30" s="5">
        <v>55</v>
      </c>
      <c r="D30" s="5" t="s">
        <v>4</v>
      </c>
      <c r="E30" s="6" t="str">
        <f t="shared" si="0"/>
        <v>Bad</v>
      </c>
    </row>
    <row r="31" spans="1:10" x14ac:dyDescent="0.25">
      <c r="A31" s="5">
        <v>2</v>
      </c>
      <c r="B31" s="5">
        <v>4.2</v>
      </c>
      <c r="C31" s="5">
        <v>55</v>
      </c>
      <c r="D31" s="5" t="s">
        <v>4</v>
      </c>
      <c r="E31" s="6" t="str">
        <f t="shared" si="0"/>
        <v>Bad</v>
      </c>
    </row>
    <row r="32" spans="1:10" x14ac:dyDescent="0.25">
      <c r="A32" s="5">
        <v>1</v>
      </c>
      <c r="B32" s="5">
        <v>9</v>
      </c>
      <c r="C32" s="5">
        <v>37</v>
      </c>
      <c r="D32" s="5" t="s">
        <v>4</v>
      </c>
      <c r="E32" s="6" t="str">
        <f t="shared" si="0"/>
        <v>Bad</v>
      </c>
      <c r="G32" t="s">
        <v>21</v>
      </c>
      <c r="H32" t="s">
        <v>30</v>
      </c>
    </row>
    <row r="33" spans="1:10" x14ac:dyDescent="0.25">
      <c r="A33" s="5">
        <v>4</v>
      </c>
      <c r="B33" s="5">
        <v>9.1999999999999993</v>
      </c>
      <c r="C33" s="5">
        <v>39</v>
      </c>
      <c r="D33" s="5" t="s">
        <v>4</v>
      </c>
      <c r="E33" s="6" t="str">
        <f t="shared" si="0"/>
        <v>Bad</v>
      </c>
    </row>
    <row r="34" spans="1:10" x14ac:dyDescent="0.25">
      <c r="A34" s="5">
        <v>5</v>
      </c>
      <c r="B34" s="5">
        <v>4.5999999999999996</v>
      </c>
      <c r="C34" s="5">
        <v>49</v>
      </c>
      <c r="D34" s="5" t="s">
        <v>4</v>
      </c>
      <c r="E34" s="6" t="str">
        <f t="shared" ref="E34:E66" si="1">IF($H$27*A34+$H$28*B34+$H$29*C34 &gt;=$H$34, "Bad", "Good")</f>
        <v>Bad</v>
      </c>
      <c r="G34" t="s">
        <v>25</v>
      </c>
      <c r="H34">
        <f>SUMPRODUCT(_xlfn.ANCHORARRAY(H27),_xlfn.ANCHORARRAY(K14))/2</f>
        <v>-3.8921403091814852</v>
      </c>
    </row>
    <row r="35" spans="1:10" x14ac:dyDescent="0.25">
      <c r="A35" s="5">
        <v>2</v>
      </c>
      <c r="B35" s="5">
        <v>6.4</v>
      </c>
      <c r="C35" s="5">
        <v>58</v>
      </c>
      <c r="D35" s="5" t="s">
        <v>4</v>
      </c>
      <c r="E35" s="6" t="str">
        <f t="shared" si="1"/>
        <v>Bad</v>
      </c>
    </row>
    <row r="36" spans="1:10" x14ac:dyDescent="0.25">
      <c r="A36" s="5">
        <v>2</v>
      </c>
      <c r="B36" s="5">
        <v>6</v>
      </c>
      <c r="C36" s="5">
        <v>41</v>
      </c>
      <c r="D36" s="5" t="s">
        <v>4</v>
      </c>
      <c r="E36" s="6" t="str">
        <f t="shared" si="1"/>
        <v>Bad</v>
      </c>
      <c r="G36" t="s">
        <v>24</v>
      </c>
      <c r="H36" t="s">
        <v>26</v>
      </c>
      <c r="I36" t="s">
        <v>5</v>
      </c>
      <c r="J36" t="s">
        <v>4</v>
      </c>
    </row>
    <row r="37" spans="1:10" x14ac:dyDescent="0.25">
      <c r="A37" s="5">
        <v>1</v>
      </c>
      <c r="B37" s="5">
        <v>10.5</v>
      </c>
      <c r="C37" s="5">
        <v>45</v>
      </c>
      <c r="D37" s="5" t="s">
        <v>4</v>
      </c>
      <c r="E37" s="6" t="str">
        <f t="shared" si="1"/>
        <v>Good</v>
      </c>
      <c r="H37" t="s">
        <v>5</v>
      </c>
      <c r="I37">
        <f>COUNTIFS(D2:D101, "Good", E2:E101, "Good")</f>
        <v>41</v>
      </c>
      <c r="J37">
        <f>COUNTIFS(D2:D101, "Good", E2:E101, "Bad")</f>
        <v>12</v>
      </c>
    </row>
    <row r="38" spans="1:10" x14ac:dyDescent="0.25">
      <c r="A38" s="5">
        <v>2</v>
      </c>
      <c r="B38" s="5">
        <v>8.9</v>
      </c>
      <c r="C38" s="5">
        <v>55</v>
      </c>
      <c r="D38" s="5" t="s">
        <v>4</v>
      </c>
      <c r="E38" s="6" t="str">
        <f t="shared" si="1"/>
        <v>Good</v>
      </c>
      <c r="H38" t="s">
        <v>4</v>
      </c>
      <c r="I38">
        <f>COUNTIFS(D2:D101, "Bad", E2:E101, "Good")</f>
        <v>9</v>
      </c>
      <c r="J38">
        <f>COUNTIFS(D2:D101, "Bad", E2:E101, "Bad")</f>
        <v>38</v>
      </c>
    </row>
    <row r="39" spans="1:10" x14ac:dyDescent="0.25">
      <c r="A39" s="5">
        <v>3</v>
      </c>
      <c r="B39" s="5">
        <v>12.1</v>
      </c>
      <c r="C39" s="5">
        <v>42</v>
      </c>
      <c r="D39" s="5" t="s">
        <v>4</v>
      </c>
      <c r="E39" s="6" t="str">
        <f t="shared" si="1"/>
        <v>Good</v>
      </c>
    </row>
    <row r="40" spans="1:10" x14ac:dyDescent="0.25">
      <c r="A40" s="5">
        <v>4</v>
      </c>
      <c r="B40" s="5">
        <v>9.5</v>
      </c>
      <c r="C40" s="5">
        <v>53</v>
      </c>
      <c r="D40" s="5" t="s">
        <v>4</v>
      </c>
      <c r="E40" s="6" t="str">
        <f t="shared" si="1"/>
        <v>Bad</v>
      </c>
      <c r="G40" t="s">
        <v>27</v>
      </c>
      <c r="H40">
        <f>(I38+J37)/(H13+I13)</f>
        <v>0.21</v>
      </c>
    </row>
    <row r="41" spans="1:10" x14ac:dyDescent="0.25">
      <c r="A41" s="5">
        <v>2</v>
      </c>
      <c r="B41" s="5">
        <v>9.1</v>
      </c>
      <c r="C41" s="5">
        <v>44</v>
      </c>
      <c r="D41" s="5" t="s">
        <v>4</v>
      </c>
      <c r="E41" s="6" t="str">
        <f t="shared" si="1"/>
        <v>Bad</v>
      </c>
      <c r="G41" t="s">
        <v>28</v>
      </c>
      <c r="H41">
        <f>(J37)/(I13)</f>
        <v>0.22641509433962265</v>
      </c>
    </row>
    <row r="42" spans="1:10" x14ac:dyDescent="0.25">
      <c r="A42" s="5">
        <v>3</v>
      </c>
      <c r="B42" s="5">
        <v>7.1</v>
      </c>
      <c r="C42" s="5">
        <v>54</v>
      </c>
      <c r="D42" s="5" t="s">
        <v>4</v>
      </c>
      <c r="E42" s="6" t="str">
        <f t="shared" si="1"/>
        <v>Bad</v>
      </c>
      <c r="G42" t="s">
        <v>29</v>
      </c>
      <c r="H42">
        <f>(I38)/(H13)</f>
        <v>0.19148936170212766</v>
      </c>
    </row>
    <row r="43" spans="1:10" x14ac:dyDescent="0.25">
      <c r="A43" s="5">
        <v>3</v>
      </c>
      <c r="B43" s="5">
        <v>4.0999999999999996</v>
      </c>
      <c r="C43" s="5">
        <v>50</v>
      </c>
      <c r="D43" s="5" t="s">
        <v>4</v>
      </c>
      <c r="E43" s="6" t="str">
        <f t="shared" si="1"/>
        <v>Bad</v>
      </c>
    </row>
    <row r="44" spans="1:10" x14ac:dyDescent="0.25">
      <c r="A44" s="5">
        <v>3</v>
      </c>
      <c r="B44" s="5">
        <v>4.4000000000000004</v>
      </c>
      <c r="C44" s="5">
        <v>41</v>
      </c>
      <c r="D44" s="5" t="s">
        <v>4</v>
      </c>
      <c r="E44" s="6" t="str">
        <f t="shared" si="1"/>
        <v>Bad</v>
      </c>
    </row>
    <row r="45" spans="1:10" x14ac:dyDescent="0.25">
      <c r="A45" s="5">
        <v>1</v>
      </c>
      <c r="B45" s="5">
        <v>5.2</v>
      </c>
      <c r="C45" s="5">
        <v>49</v>
      </c>
      <c r="D45" s="5" t="s">
        <v>4</v>
      </c>
      <c r="E45" s="6" t="str">
        <f t="shared" si="1"/>
        <v>Bad</v>
      </c>
    </row>
    <row r="46" spans="1:10" x14ac:dyDescent="0.25">
      <c r="A46" s="5">
        <v>1</v>
      </c>
      <c r="B46" s="5">
        <v>4.2</v>
      </c>
      <c r="C46" s="5">
        <v>48</v>
      </c>
      <c r="D46" s="5" t="s">
        <v>4</v>
      </c>
      <c r="E46" s="6" t="str">
        <f t="shared" si="1"/>
        <v>Bad</v>
      </c>
    </row>
    <row r="47" spans="1:10" x14ac:dyDescent="0.25">
      <c r="A47" s="5">
        <v>1</v>
      </c>
      <c r="B47" s="5">
        <v>6.5</v>
      </c>
      <c r="C47" s="5">
        <v>49</v>
      </c>
      <c r="D47" s="5" t="s">
        <v>4</v>
      </c>
      <c r="E47" s="6" t="str">
        <f t="shared" si="1"/>
        <v>Bad</v>
      </c>
    </row>
    <row r="48" spans="1:10" x14ac:dyDescent="0.25">
      <c r="A48" s="5">
        <v>2</v>
      </c>
      <c r="B48" s="5">
        <v>6.8</v>
      </c>
      <c r="C48" s="5">
        <v>46</v>
      </c>
      <c r="D48" s="5" t="s">
        <v>4</v>
      </c>
      <c r="E48" s="6" t="str">
        <f t="shared" si="1"/>
        <v>Bad</v>
      </c>
    </row>
    <row r="49" spans="1:5" x14ac:dyDescent="0.25">
      <c r="A49" s="5">
        <v>1</v>
      </c>
      <c r="B49" s="5">
        <v>16.7</v>
      </c>
      <c r="C49" s="5">
        <v>60</v>
      </c>
      <c r="D49" s="5" t="s">
        <v>5</v>
      </c>
      <c r="E49" s="6" t="str">
        <f t="shared" si="1"/>
        <v>Good</v>
      </c>
    </row>
    <row r="50" spans="1:5" x14ac:dyDescent="0.25">
      <c r="A50" s="5">
        <v>5</v>
      </c>
      <c r="B50" s="5">
        <v>11.8</v>
      </c>
      <c r="C50" s="5">
        <v>33</v>
      </c>
      <c r="D50" s="5" t="s">
        <v>5</v>
      </c>
      <c r="E50" s="6" t="str">
        <f t="shared" si="1"/>
        <v>Bad</v>
      </c>
    </row>
    <row r="51" spans="1:5" x14ac:dyDescent="0.25">
      <c r="A51" s="5">
        <v>2</v>
      </c>
      <c r="B51" s="5">
        <v>10.6</v>
      </c>
      <c r="C51" s="5">
        <v>30</v>
      </c>
      <c r="D51" s="5" t="s">
        <v>5</v>
      </c>
      <c r="E51" s="6" t="str">
        <f t="shared" si="1"/>
        <v>Bad</v>
      </c>
    </row>
    <row r="52" spans="1:5" x14ac:dyDescent="0.25">
      <c r="A52" s="5">
        <v>3</v>
      </c>
      <c r="B52" s="5">
        <v>6</v>
      </c>
      <c r="C52" s="5">
        <v>59</v>
      </c>
      <c r="D52" s="5" t="s">
        <v>5</v>
      </c>
      <c r="E52" s="6" t="str">
        <f t="shared" si="1"/>
        <v>Bad</v>
      </c>
    </row>
    <row r="53" spans="1:5" x14ac:dyDescent="0.25">
      <c r="A53" s="5">
        <v>2</v>
      </c>
      <c r="B53" s="5">
        <v>13.6</v>
      </c>
      <c r="C53" s="5">
        <v>46</v>
      </c>
      <c r="D53" s="5" t="s">
        <v>5</v>
      </c>
      <c r="E53" s="6" t="str">
        <f t="shared" si="1"/>
        <v>Good</v>
      </c>
    </row>
    <row r="54" spans="1:5" x14ac:dyDescent="0.25">
      <c r="A54" s="5">
        <v>0</v>
      </c>
      <c r="B54" s="5">
        <v>8.5</v>
      </c>
      <c r="C54" s="5">
        <v>49</v>
      </c>
      <c r="D54" s="5" t="s">
        <v>5</v>
      </c>
      <c r="E54" s="6" t="str">
        <f t="shared" si="1"/>
        <v>Good</v>
      </c>
    </row>
    <row r="55" spans="1:5" x14ac:dyDescent="0.25">
      <c r="A55" s="5">
        <v>2</v>
      </c>
      <c r="B55" s="5">
        <v>10.1</v>
      </c>
      <c r="C55" s="5">
        <v>50</v>
      </c>
      <c r="D55" s="5" t="s">
        <v>5</v>
      </c>
      <c r="E55" s="6" t="str">
        <f t="shared" si="1"/>
        <v>Good</v>
      </c>
    </row>
    <row r="56" spans="1:5" x14ac:dyDescent="0.25">
      <c r="A56" s="5">
        <v>0</v>
      </c>
      <c r="B56" s="5">
        <v>14.1</v>
      </c>
      <c r="C56" s="5">
        <v>50</v>
      </c>
      <c r="D56" s="5" t="s">
        <v>5</v>
      </c>
      <c r="E56" s="6" t="str">
        <f t="shared" si="1"/>
        <v>Good</v>
      </c>
    </row>
    <row r="57" spans="1:5" x14ac:dyDescent="0.25">
      <c r="A57" s="5">
        <v>0</v>
      </c>
      <c r="B57" s="5">
        <v>8.4</v>
      </c>
      <c r="C57" s="5">
        <v>47</v>
      </c>
      <c r="D57" s="5" t="s">
        <v>5</v>
      </c>
      <c r="E57" s="6" t="str">
        <f t="shared" si="1"/>
        <v>Good</v>
      </c>
    </row>
    <row r="58" spans="1:5" x14ac:dyDescent="0.25">
      <c r="A58" s="5">
        <v>2</v>
      </c>
      <c r="B58" s="5">
        <v>9.1999999999999993</v>
      </c>
      <c r="C58" s="5">
        <v>60</v>
      </c>
      <c r="D58" s="5" t="s">
        <v>5</v>
      </c>
      <c r="E58" s="6" t="str">
        <f t="shared" si="1"/>
        <v>Good</v>
      </c>
    </row>
    <row r="59" spans="1:5" x14ac:dyDescent="0.25">
      <c r="A59" s="5">
        <v>2</v>
      </c>
      <c r="B59" s="5">
        <v>7.7</v>
      </c>
      <c r="C59" s="5">
        <v>58</v>
      </c>
      <c r="D59" s="5" t="s">
        <v>5</v>
      </c>
      <c r="E59" s="6" t="str">
        <f t="shared" si="1"/>
        <v>Bad</v>
      </c>
    </row>
    <row r="60" spans="1:5" x14ac:dyDescent="0.25">
      <c r="A60" s="5">
        <v>2</v>
      </c>
      <c r="B60" s="5">
        <v>10.7</v>
      </c>
      <c r="C60" s="5">
        <v>39</v>
      </c>
      <c r="D60" s="5" t="s">
        <v>5</v>
      </c>
      <c r="E60" s="6" t="str">
        <f t="shared" si="1"/>
        <v>Good</v>
      </c>
    </row>
    <row r="61" spans="1:5" x14ac:dyDescent="0.25">
      <c r="A61" s="5">
        <v>2</v>
      </c>
      <c r="B61" s="5">
        <v>12.5</v>
      </c>
      <c r="C61" s="5">
        <v>46</v>
      </c>
      <c r="D61" s="5" t="s">
        <v>5</v>
      </c>
      <c r="E61" s="6" t="str">
        <f t="shared" si="1"/>
        <v>Good</v>
      </c>
    </row>
    <row r="62" spans="1:5" x14ac:dyDescent="0.25">
      <c r="A62" s="5">
        <v>2</v>
      </c>
      <c r="B62" s="5">
        <v>9.1</v>
      </c>
      <c r="C62" s="5">
        <v>56</v>
      </c>
      <c r="D62" s="5" t="s">
        <v>5</v>
      </c>
      <c r="E62" s="6" t="str">
        <f t="shared" si="1"/>
        <v>Good</v>
      </c>
    </row>
    <row r="63" spans="1:5" x14ac:dyDescent="0.25">
      <c r="A63" s="5">
        <v>2</v>
      </c>
      <c r="B63" s="5">
        <v>11.8</v>
      </c>
      <c r="C63" s="5">
        <v>46</v>
      </c>
      <c r="D63" s="5" t="s">
        <v>5</v>
      </c>
      <c r="E63" s="6" t="str">
        <f t="shared" si="1"/>
        <v>Good</v>
      </c>
    </row>
    <row r="64" spans="1:5" x14ac:dyDescent="0.25">
      <c r="A64" s="5">
        <v>1</v>
      </c>
      <c r="B64" s="5">
        <v>11.9</v>
      </c>
      <c r="C64" s="5">
        <v>42</v>
      </c>
      <c r="D64" s="5" t="s">
        <v>5</v>
      </c>
      <c r="E64" s="6" t="str">
        <f t="shared" si="1"/>
        <v>Good</v>
      </c>
    </row>
    <row r="65" spans="1:5" x14ac:dyDescent="0.25">
      <c r="A65" s="5">
        <v>1</v>
      </c>
      <c r="B65" s="5">
        <v>9.4</v>
      </c>
      <c r="C65" s="5">
        <v>59</v>
      </c>
      <c r="D65" s="5" t="s">
        <v>5</v>
      </c>
      <c r="E65" s="6" t="str">
        <f t="shared" si="1"/>
        <v>Good</v>
      </c>
    </row>
    <row r="66" spans="1:5" x14ac:dyDescent="0.25">
      <c r="A66" s="5">
        <v>1</v>
      </c>
      <c r="B66" s="5">
        <v>10.7</v>
      </c>
      <c r="C66" s="5">
        <v>40</v>
      </c>
      <c r="D66" s="5" t="s">
        <v>5</v>
      </c>
      <c r="E66" s="6" t="str">
        <f t="shared" si="1"/>
        <v>Good</v>
      </c>
    </row>
    <row r="67" spans="1:5" x14ac:dyDescent="0.25">
      <c r="A67" s="5">
        <v>4</v>
      </c>
      <c r="B67" s="5">
        <v>15.1</v>
      </c>
      <c r="C67" s="5">
        <v>57</v>
      </c>
      <c r="D67" s="5" t="s">
        <v>5</v>
      </c>
      <c r="E67" s="6" t="str">
        <f t="shared" ref="E67:E101" si="2">IF($H$27*A67+$H$28*B67+$H$29*C67 &gt;=$H$34, "Bad", "Good")</f>
        <v>Good</v>
      </c>
    </row>
    <row r="68" spans="1:5" x14ac:dyDescent="0.25">
      <c r="A68" s="5">
        <v>3</v>
      </c>
      <c r="B68" s="5">
        <v>15.9</v>
      </c>
      <c r="C68" s="5">
        <v>60</v>
      </c>
      <c r="D68" s="5" t="s">
        <v>5</v>
      </c>
      <c r="E68" s="6" t="str">
        <f t="shared" si="2"/>
        <v>Good</v>
      </c>
    </row>
    <row r="69" spans="1:5" x14ac:dyDescent="0.25">
      <c r="A69" s="5">
        <v>2</v>
      </c>
      <c r="B69" s="5">
        <v>13.7</v>
      </c>
      <c r="C69" s="5">
        <v>57</v>
      </c>
      <c r="D69" s="5" t="s">
        <v>5</v>
      </c>
      <c r="E69" s="6" t="str">
        <f t="shared" si="2"/>
        <v>Good</v>
      </c>
    </row>
    <row r="70" spans="1:5" x14ac:dyDescent="0.25">
      <c r="A70" s="5">
        <v>3</v>
      </c>
      <c r="B70" s="5">
        <v>12.6</v>
      </c>
      <c r="C70" s="5">
        <v>51</v>
      </c>
      <c r="D70" s="5" t="s">
        <v>5</v>
      </c>
      <c r="E70" s="6" t="str">
        <f t="shared" si="2"/>
        <v>Good</v>
      </c>
    </row>
    <row r="71" spans="1:5" x14ac:dyDescent="0.25">
      <c r="A71" s="5">
        <v>1</v>
      </c>
      <c r="B71" s="5">
        <v>12.1</v>
      </c>
      <c r="C71" s="5">
        <v>43</v>
      </c>
      <c r="D71" s="5" t="s">
        <v>5</v>
      </c>
      <c r="E71" s="6" t="str">
        <f t="shared" si="2"/>
        <v>Good</v>
      </c>
    </row>
    <row r="72" spans="1:5" x14ac:dyDescent="0.25">
      <c r="A72" s="5">
        <v>2</v>
      </c>
      <c r="B72" s="5">
        <v>11.3</v>
      </c>
      <c r="C72" s="5">
        <v>40</v>
      </c>
      <c r="D72" s="5" t="s">
        <v>5</v>
      </c>
      <c r="E72" s="6" t="str">
        <f t="shared" si="2"/>
        <v>Good</v>
      </c>
    </row>
    <row r="73" spans="1:5" x14ac:dyDescent="0.25">
      <c r="A73" s="5">
        <v>0</v>
      </c>
      <c r="B73" s="5">
        <v>12.5</v>
      </c>
      <c r="C73" s="5">
        <v>53</v>
      </c>
      <c r="D73" s="5" t="s">
        <v>5</v>
      </c>
      <c r="E73" s="6" t="str">
        <f t="shared" si="2"/>
        <v>Good</v>
      </c>
    </row>
    <row r="74" spans="1:5" x14ac:dyDescent="0.25">
      <c r="A74" s="5">
        <v>2</v>
      </c>
      <c r="B74" s="5">
        <v>11.3</v>
      </c>
      <c r="C74" s="5">
        <v>40</v>
      </c>
      <c r="D74" s="5" t="s">
        <v>5</v>
      </c>
      <c r="E74" s="6" t="str">
        <f t="shared" si="2"/>
        <v>Good</v>
      </c>
    </row>
    <row r="75" spans="1:5" x14ac:dyDescent="0.25">
      <c r="A75" s="5">
        <v>1</v>
      </c>
      <c r="B75" s="5">
        <v>10.5</v>
      </c>
      <c r="C75" s="5">
        <v>30</v>
      </c>
      <c r="D75" s="5" t="s">
        <v>5</v>
      </c>
      <c r="E75" s="6" t="str">
        <f t="shared" si="2"/>
        <v>Good</v>
      </c>
    </row>
    <row r="76" spans="1:5" x14ac:dyDescent="0.25">
      <c r="A76" s="5">
        <v>2</v>
      </c>
      <c r="B76" s="5">
        <v>9.8000000000000007</v>
      </c>
      <c r="C76" s="5">
        <v>30</v>
      </c>
      <c r="D76" s="5" t="s">
        <v>5</v>
      </c>
      <c r="E76" s="6" t="str">
        <f t="shared" si="2"/>
        <v>Bad</v>
      </c>
    </row>
    <row r="77" spans="1:5" x14ac:dyDescent="0.25">
      <c r="A77" s="5">
        <v>0</v>
      </c>
      <c r="B77" s="5">
        <v>10.1</v>
      </c>
      <c r="C77" s="5">
        <v>39</v>
      </c>
      <c r="D77" s="5" t="s">
        <v>5</v>
      </c>
      <c r="E77" s="6" t="str">
        <f t="shared" si="2"/>
        <v>Good</v>
      </c>
    </row>
    <row r="78" spans="1:5" x14ac:dyDescent="0.25">
      <c r="A78" s="5">
        <v>4</v>
      </c>
      <c r="B78" s="5">
        <v>4.8</v>
      </c>
      <c r="C78" s="5">
        <v>60</v>
      </c>
      <c r="D78" s="5" t="s">
        <v>5</v>
      </c>
      <c r="E78" s="6" t="str">
        <f t="shared" si="2"/>
        <v>Bad</v>
      </c>
    </row>
    <row r="79" spans="1:5" x14ac:dyDescent="0.25">
      <c r="A79" s="5">
        <v>1</v>
      </c>
      <c r="B79" s="5">
        <v>12.9</v>
      </c>
      <c r="C79" s="5">
        <v>47</v>
      </c>
      <c r="D79" s="5" t="s">
        <v>5</v>
      </c>
      <c r="E79" s="6" t="str">
        <f t="shared" si="2"/>
        <v>Good</v>
      </c>
    </row>
    <row r="80" spans="1:5" x14ac:dyDescent="0.25">
      <c r="A80" s="5">
        <v>2</v>
      </c>
      <c r="B80" s="5">
        <v>13.1</v>
      </c>
      <c r="C80" s="5">
        <v>57</v>
      </c>
      <c r="D80" s="5" t="s">
        <v>5</v>
      </c>
      <c r="E80" s="6" t="str">
        <f t="shared" si="2"/>
        <v>Good</v>
      </c>
    </row>
    <row r="81" spans="1:5" x14ac:dyDescent="0.25">
      <c r="A81" s="5">
        <v>1</v>
      </c>
      <c r="B81" s="5">
        <v>7.9</v>
      </c>
      <c r="C81" s="5">
        <v>54</v>
      </c>
      <c r="D81" s="5" t="s">
        <v>5</v>
      </c>
      <c r="E81" s="6" t="str">
        <f t="shared" si="2"/>
        <v>Good</v>
      </c>
    </row>
    <row r="82" spans="1:5" x14ac:dyDescent="0.25">
      <c r="A82" s="5">
        <v>1</v>
      </c>
      <c r="B82" s="5">
        <v>6.5</v>
      </c>
      <c r="C82" s="5">
        <v>51</v>
      </c>
      <c r="D82" s="5" t="s">
        <v>5</v>
      </c>
      <c r="E82" s="6" t="str">
        <f t="shared" si="2"/>
        <v>Bad</v>
      </c>
    </row>
    <row r="83" spans="1:5" x14ac:dyDescent="0.25">
      <c r="A83" s="5">
        <v>4</v>
      </c>
      <c r="B83" s="5">
        <v>13.2</v>
      </c>
      <c r="C83" s="5">
        <v>33</v>
      </c>
      <c r="D83" s="5" t="s">
        <v>5</v>
      </c>
      <c r="E83" s="6" t="str">
        <f t="shared" si="2"/>
        <v>Good</v>
      </c>
    </row>
    <row r="84" spans="1:5" x14ac:dyDescent="0.25">
      <c r="A84" s="5">
        <v>2</v>
      </c>
      <c r="B84" s="5">
        <v>6.5</v>
      </c>
      <c r="C84" s="5">
        <v>38</v>
      </c>
      <c r="D84" s="5" t="s">
        <v>5</v>
      </c>
      <c r="E84" s="6" t="str">
        <f t="shared" si="2"/>
        <v>Bad</v>
      </c>
    </row>
    <row r="85" spans="1:5" x14ac:dyDescent="0.25">
      <c r="A85" s="5">
        <v>0</v>
      </c>
      <c r="B85" s="5">
        <v>4.7</v>
      </c>
      <c r="C85" s="5">
        <v>37</v>
      </c>
      <c r="D85" s="5" t="s">
        <v>5</v>
      </c>
      <c r="E85" s="6" t="str">
        <f t="shared" si="2"/>
        <v>Bad</v>
      </c>
    </row>
    <row r="86" spans="1:5" x14ac:dyDescent="0.25">
      <c r="A86" s="5">
        <v>0</v>
      </c>
      <c r="B86" s="5">
        <v>8</v>
      </c>
      <c r="C86" s="5">
        <v>46</v>
      </c>
      <c r="D86" s="5" t="s">
        <v>5</v>
      </c>
      <c r="E86" s="6" t="str">
        <f t="shared" si="2"/>
        <v>Good</v>
      </c>
    </row>
    <row r="87" spans="1:5" x14ac:dyDescent="0.25">
      <c r="A87" s="5">
        <v>3</v>
      </c>
      <c r="B87" s="5">
        <v>13.9</v>
      </c>
      <c r="C87" s="5">
        <v>54</v>
      </c>
      <c r="D87" s="5" t="s">
        <v>5</v>
      </c>
      <c r="E87" s="6" t="str">
        <f t="shared" si="2"/>
        <v>Good</v>
      </c>
    </row>
    <row r="88" spans="1:5" x14ac:dyDescent="0.25">
      <c r="A88" s="5">
        <v>0</v>
      </c>
      <c r="B88" s="5">
        <v>11.4</v>
      </c>
      <c r="C88" s="5">
        <v>58</v>
      </c>
      <c r="D88" s="5" t="s">
        <v>5</v>
      </c>
      <c r="E88" s="6" t="str">
        <f t="shared" si="2"/>
        <v>Good</v>
      </c>
    </row>
    <row r="89" spans="1:5" x14ac:dyDescent="0.25">
      <c r="A89" s="5">
        <v>2</v>
      </c>
      <c r="B89" s="5">
        <v>9.3000000000000007</v>
      </c>
      <c r="C89" s="5">
        <v>59</v>
      </c>
      <c r="D89" s="5" t="s">
        <v>5</v>
      </c>
      <c r="E89" s="6" t="str">
        <f t="shared" si="2"/>
        <v>Good</v>
      </c>
    </row>
    <row r="90" spans="1:5" x14ac:dyDescent="0.25">
      <c r="A90" s="5">
        <v>1</v>
      </c>
      <c r="B90" s="5">
        <v>16.3</v>
      </c>
      <c r="C90" s="5">
        <v>34</v>
      </c>
      <c r="D90" s="5" t="s">
        <v>5</v>
      </c>
      <c r="E90" s="6" t="str">
        <f t="shared" si="2"/>
        <v>Good</v>
      </c>
    </row>
    <row r="91" spans="1:5" x14ac:dyDescent="0.25">
      <c r="A91" s="5">
        <v>4</v>
      </c>
      <c r="B91" s="5">
        <v>11.3</v>
      </c>
      <c r="C91" s="5">
        <v>37</v>
      </c>
      <c r="D91" s="5" t="s">
        <v>5</v>
      </c>
      <c r="E91" s="6" t="str">
        <f t="shared" si="2"/>
        <v>Bad</v>
      </c>
    </row>
    <row r="92" spans="1:5" x14ac:dyDescent="0.25">
      <c r="A92" s="5">
        <v>4</v>
      </c>
      <c r="B92" s="5">
        <v>7.9</v>
      </c>
      <c r="C92" s="5">
        <v>45</v>
      </c>
      <c r="D92" s="5" t="s">
        <v>5</v>
      </c>
      <c r="E92" s="6" t="str">
        <f t="shared" si="2"/>
        <v>Bad</v>
      </c>
    </row>
    <row r="93" spans="1:5" x14ac:dyDescent="0.25">
      <c r="A93" s="5">
        <v>1</v>
      </c>
      <c r="B93" s="5">
        <v>14</v>
      </c>
      <c r="C93" s="5">
        <v>39</v>
      </c>
      <c r="D93" s="5" t="s">
        <v>5</v>
      </c>
      <c r="E93" s="6" t="str">
        <f t="shared" si="2"/>
        <v>Good</v>
      </c>
    </row>
    <row r="94" spans="1:5" x14ac:dyDescent="0.25">
      <c r="A94" s="5">
        <v>1</v>
      </c>
      <c r="B94" s="5">
        <v>28</v>
      </c>
      <c r="C94" s="5">
        <v>56</v>
      </c>
      <c r="D94" s="5" t="s">
        <v>5</v>
      </c>
      <c r="E94" s="6" t="str">
        <f t="shared" si="2"/>
        <v>Good</v>
      </c>
    </row>
    <row r="95" spans="1:5" x14ac:dyDescent="0.25">
      <c r="A95" s="5">
        <v>1</v>
      </c>
      <c r="B95" s="5">
        <v>6.5</v>
      </c>
      <c r="C95" s="5">
        <v>40</v>
      </c>
      <c r="D95" s="5" t="s">
        <v>5</v>
      </c>
      <c r="E95" s="6" t="str">
        <f t="shared" si="2"/>
        <v>Bad</v>
      </c>
    </row>
    <row r="96" spans="1:5" x14ac:dyDescent="0.25">
      <c r="A96" s="5">
        <v>1</v>
      </c>
      <c r="B96" s="5">
        <v>9.8000000000000007</v>
      </c>
      <c r="C96" s="5">
        <v>41</v>
      </c>
      <c r="D96" s="5" t="s">
        <v>5</v>
      </c>
      <c r="E96" s="6" t="str">
        <f t="shared" si="2"/>
        <v>Good</v>
      </c>
    </row>
    <row r="97" spans="1:5" x14ac:dyDescent="0.25">
      <c r="A97" s="5">
        <v>1</v>
      </c>
      <c r="B97" s="5">
        <v>14.2</v>
      </c>
      <c r="C97" s="5">
        <v>54</v>
      </c>
      <c r="D97" s="5" t="s">
        <v>5</v>
      </c>
      <c r="E97" s="6" t="str">
        <f t="shared" si="2"/>
        <v>Good</v>
      </c>
    </row>
    <row r="98" spans="1:5" x14ac:dyDescent="0.25">
      <c r="A98" s="5">
        <v>1</v>
      </c>
      <c r="B98" s="5">
        <v>10.7</v>
      </c>
      <c r="C98" s="5">
        <v>59</v>
      </c>
      <c r="D98" s="5" t="s">
        <v>5</v>
      </c>
      <c r="E98" s="6" t="str">
        <f t="shared" si="2"/>
        <v>Good</v>
      </c>
    </row>
    <row r="99" spans="1:5" x14ac:dyDescent="0.25">
      <c r="A99" s="5">
        <v>3</v>
      </c>
      <c r="B99" s="5">
        <v>10</v>
      </c>
      <c r="C99" s="5">
        <v>58</v>
      </c>
      <c r="D99" s="5" t="s">
        <v>5</v>
      </c>
      <c r="E99" s="6" t="str">
        <f t="shared" si="2"/>
        <v>Good</v>
      </c>
    </row>
    <row r="100" spans="1:5" x14ac:dyDescent="0.25">
      <c r="A100" s="5">
        <v>0</v>
      </c>
      <c r="B100" s="5">
        <v>12</v>
      </c>
      <c r="C100" s="5">
        <v>39</v>
      </c>
      <c r="D100" s="5" t="s">
        <v>5</v>
      </c>
      <c r="E100" s="6" t="str">
        <f t="shared" si="2"/>
        <v>Good</v>
      </c>
    </row>
    <row r="101" spans="1:5" x14ac:dyDescent="0.25">
      <c r="A101" s="5">
        <v>1</v>
      </c>
      <c r="B101" s="5">
        <v>23</v>
      </c>
      <c r="C101" s="5">
        <v>43</v>
      </c>
      <c r="D101" s="5" t="s">
        <v>5</v>
      </c>
      <c r="E101" s="6" t="str">
        <f t="shared" si="2"/>
        <v>Good</v>
      </c>
    </row>
  </sheetData>
  <sortState xmlns:xlrd2="http://schemas.microsoft.com/office/spreadsheetml/2017/richdata2" ref="A2:D101">
    <sortCondition ref="D1:D101"/>
  </sortState>
  <mergeCells count="4">
    <mergeCell ref="G1:U7"/>
    <mergeCell ref="G8:U8"/>
    <mergeCell ref="G9:U9"/>
    <mergeCell ref="G10:U10"/>
  </mergeCells>
  <pageMargins left="0.7" right="0.7" top="0.75" bottom="0.75" header="0.3" footer="0.3"/>
  <ignoredErrors>
    <ignoredError sqref="N16:P16 S16:U16 N14 N15:O15 S14 S15:T15"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7259E-2D68-47ED-B501-1DC06CA54763}">
  <dimension ref="A1:F55"/>
  <sheetViews>
    <sheetView topLeftCell="A40" workbookViewId="0">
      <selection activeCell="D55" sqref="D55:F55"/>
    </sheetView>
  </sheetViews>
  <sheetFormatPr defaultRowHeight="15" x14ac:dyDescent="0.25"/>
  <sheetData>
    <row r="1" spans="1:6" x14ac:dyDescent="0.25">
      <c r="A1" t="s">
        <v>0</v>
      </c>
      <c r="B1" t="s">
        <v>1</v>
      </c>
      <c r="C1" t="s">
        <v>2</v>
      </c>
      <c r="D1" t="s">
        <v>0</v>
      </c>
      <c r="E1" t="s">
        <v>1</v>
      </c>
      <c r="F1" t="s">
        <v>10</v>
      </c>
    </row>
    <row r="2" spans="1:6" ht="15.75" thickBot="1" x14ac:dyDescent="0.3">
      <c r="A2">
        <v>6</v>
      </c>
      <c r="B2">
        <v>10</v>
      </c>
      <c r="C2">
        <v>39</v>
      </c>
      <c r="D2" s="1">
        <v>1</v>
      </c>
      <c r="E2" s="1">
        <v>16.7</v>
      </c>
      <c r="F2" s="1">
        <v>60</v>
      </c>
    </row>
    <row r="3" spans="1:6" ht="15.75" thickBot="1" x14ac:dyDescent="0.3">
      <c r="A3">
        <v>1</v>
      </c>
      <c r="B3">
        <v>9</v>
      </c>
      <c r="C3">
        <v>49</v>
      </c>
      <c r="D3" s="1">
        <v>5</v>
      </c>
      <c r="E3" s="1">
        <v>11.8</v>
      </c>
      <c r="F3" s="1">
        <v>33</v>
      </c>
    </row>
    <row r="4" spans="1:6" ht="15.75" thickBot="1" x14ac:dyDescent="0.3">
      <c r="A4">
        <v>2</v>
      </c>
      <c r="B4">
        <v>4.8</v>
      </c>
      <c r="C4">
        <v>35</v>
      </c>
      <c r="D4" s="1">
        <v>2</v>
      </c>
      <c r="E4" s="1">
        <v>10.6</v>
      </c>
      <c r="F4" s="1">
        <v>30</v>
      </c>
    </row>
    <row r="5" spans="1:6" ht="15.75" thickBot="1" x14ac:dyDescent="0.3">
      <c r="A5">
        <v>0</v>
      </c>
      <c r="B5">
        <v>4.9000000000000004</v>
      </c>
      <c r="C5">
        <v>52</v>
      </c>
      <c r="D5" s="1">
        <v>3</v>
      </c>
      <c r="E5" s="1">
        <v>6</v>
      </c>
      <c r="F5" s="1">
        <v>59</v>
      </c>
    </row>
    <row r="6" spans="1:6" ht="15.75" thickBot="1" x14ac:dyDescent="0.3">
      <c r="A6">
        <v>1</v>
      </c>
      <c r="B6">
        <v>4.7</v>
      </c>
      <c r="C6">
        <v>34</v>
      </c>
      <c r="D6" s="1">
        <v>2</v>
      </c>
      <c r="E6" s="1">
        <v>13.6</v>
      </c>
      <c r="F6" s="1">
        <v>46</v>
      </c>
    </row>
    <row r="7" spans="1:6" ht="15.75" thickBot="1" x14ac:dyDescent="0.3">
      <c r="A7">
        <v>3</v>
      </c>
      <c r="B7">
        <v>2.4</v>
      </c>
      <c r="C7">
        <v>44</v>
      </c>
      <c r="D7" s="1">
        <v>0</v>
      </c>
      <c r="E7" s="1">
        <v>8.5</v>
      </c>
      <c r="F7" s="1">
        <v>49</v>
      </c>
    </row>
    <row r="8" spans="1:6" ht="15.75" thickBot="1" x14ac:dyDescent="0.3">
      <c r="A8">
        <v>3</v>
      </c>
      <c r="B8">
        <v>4.5999999999999996</v>
      </c>
      <c r="C8">
        <v>37</v>
      </c>
      <c r="D8" s="1">
        <v>2</v>
      </c>
      <c r="E8" s="1">
        <v>10.1</v>
      </c>
      <c r="F8" s="1">
        <v>50</v>
      </c>
    </row>
    <row r="9" spans="1:6" ht="15.75" thickBot="1" x14ac:dyDescent="0.3">
      <c r="A9">
        <v>2</v>
      </c>
      <c r="B9">
        <v>4.9000000000000004</v>
      </c>
      <c r="C9">
        <v>56</v>
      </c>
      <c r="D9" s="1">
        <v>0</v>
      </c>
      <c r="E9" s="1">
        <v>14.1</v>
      </c>
      <c r="F9" s="1">
        <v>50</v>
      </c>
    </row>
    <row r="10" spans="1:6" ht="15.75" thickBot="1" x14ac:dyDescent="0.3">
      <c r="A10">
        <v>4</v>
      </c>
      <c r="B10">
        <v>8</v>
      </c>
      <c r="C10">
        <v>35</v>
      </c>
      <c r="D10" s="1">
        <v>0</v>
      </c>
      <c r="E10" s="1">
        <v>8.4</v>
      </c>
      <c r="F10" s="1">
        <v>47</v>
      </c>
    </row>
    <row r="11" spans="1:6" ht="15.75" thickBot="1" x14ac:dyDescent="0.3">
      <c r="A11">
        <v>1</v>
      </c>
      <c r="B11">
        <v>8.3000000000000007</v>
      </c>
      <c r="C11">
        <v>49</v>
      </c>
      <c r="D11" s="1">
        <v>2</v>
      </c>
      <c r="E11" s="1">
        <v>9.1999999999999993</v>
      </c>
      <c r="F11" s="1">
        <v>60</v>
      </c>
    </row>
    <row r="12" spans="1:6" ht="15.75" thickBot="1" x14ac:dyDescent="0.3">
      <c r="A12">
        <v>3</v>
      </c>
      <c r="B12">
        <v>8</v>
      </c>
      <c r="C12">
        <v>49</v>
      </c>
      <c r="D12" s="1">
        <v>2</v>
      </c>
      <c r="E12" s="1">
        <v>7.7</v>
      </c>
      <c r="F12" s="1">
        <v>58</v>
      </c>
    </row>
    <row r="13" spans="1:6" ht="15.75" thickBot="1" x14ac:dyDescent="0.3">
      <c r="A13">
        <v>1</v>
      </c>
      <c r="B13">
        <v>4.2</v>
      </c>
      <c r="C13">
        <v>36</v>
      </c>
      <c r="D13" s="1">
        <v>2</v>
      </c>
      <c r="E13" s="1">
        <v>10.7</v>
      </c>
      <c r="F13" s="1">
        <v>39</v>
      </c>
    </row>
    <row r="14" spans="1:6" ht="15.75" thickBot="1" x14ac:dyDescent="0.3">
      <c r="A14">
        <v>2</v>
      </c>
      <c r="B14">
        <v>3.1</v>
      </c>
      <c r="C14">
        <v>55</v>
      </c>
      <c r="D14" s="1">
        <v>2</v>
      </c>
      <c r="E14" s="1">
        <v>12.5</v>
      </c>
      <c r="F14" s="1">
        <v>46</v>
      </c>
    </row>
    <row r="15" spans="1:6" ht="15.75" thickBot="1" x14ac:dyDescent="0.3">
      <c r="A15">
        <v>2</v>
      </c>
      <c r="B15">
        <v>6.8</v>
      </c>
      <c r="C15">
        <v>40</v>
      </c>
      <c r="D15" s="1">
        <v>2</v>
      </c>
      <c r="E15" s="1">
        <v>9.1</v>
      </c>
      <c r="F15" s="1">
        <v>56</v>
      </c>
    </row>
    <row r="16" spans="1:6" ht="15.75" thickBot="1" x14ac:dyDescent="0.3">
      <c r="A16">
        <v>2</v>
      </c>
      <c r="B16">
        <v>7.4</v>
      </c>
      <c r="C16">
        <v>34</v>
      </c>
      <c r="D16" s="1">
        <v>2</v>
      </c>
      <c r="E16" s="1">
        <v>11.8</v>
      </c>
      <c r="F16" s="1">
        <v>46</v>
      </c>
    </row>
    <row r="17" spans="1:6" ht="15.75" thickBot="1" x14ac:dyDescent="0.3">
      <c r="A17">
        <v>1</v>
      </c>
      <c r="B17">
        <v>7</v>
      </c>
      <c r="C17">
        <v>34</v>
      </c>
      <c r="D17" s="1">
        <v>1</v>
      </c>
      <c r="E17" s="1">
        <v>11.9</v>
      </c>
      <c r="F17" s="1">
        <v>42</v>
      </c>
    </row>
    <row r="18" spans="1:6" ht="15.75" thickBot="1" x14ac:dyDescent="0.3">
      <c r="A18">
        <v>1</v>
      </c>
      <c r="B18">
        <v>7.8</v>
      </c>
      <c r="C18">
        <v>48</v>
      </c>
      <c r="D18" s="1">
        <v>1</v>
      </c>
      <c r="E18" s="1">
        <v>9.4</v>
      </c>
      <c r="F18" s="1">
        <v>59</v>
      </c>
    </row>
    <row r="19" spans="1:6" ht="15.75" thickBot="1" x14ac:dyDescent="0.3">
      <c r="A19">
        <v>1</v>
      </c>
      <c r="B19">
        <v>8.1999999999999993</v>
      </c>
      <c r="C19">
        <v>49</v>
      </c>
      <c r="D19" s="1">
        <v>1</v>
      </c>
      <c r="E19" s="1">
        <v>10.7</v>
      </c>
      <c r="F19" s="1">
        <v>40</v>
      </c>
    </row>
    <row r="20" spans="1:6" ht="15.75" thickBot="1" x14ac:dyDescent="0.3">
      <c r="A20">
        <v>0</v>
      </c>
      <c r="B20">
        <v>4.5</v>
      </c>
      <c r="C20">
        <v>43</v>
      </c>
      <c r="D20" s="1">
        <v>4</v>
      </c>
      <c r="E20" s="1">
        <v>15.1</v>
      </c>
      <c r="F20" s="1">
        <v>57</v>
      </c>
    </row>
    <row r="21" spans="1:6" ht="15.75" thickBot="1" x14ac:dyDescent="0.3">
      <c r="A21">
        <v>3</v>
      </c>
      <c r="B21">
        <v>8.1</v>
      </c>
      <c r="C21">
        <v>39</v>
      </c>
      <c r="D21" s="1">
        <v>3</v>
      </c>
      <c r="E21" s="1">
        <v>15.9</v>
      </c>
      <c r="F21" s="1">
        <v>60</v>
      </c>
    </row>
    <row r="22" spans="1:6" ht="15.75" thickBot="1" x14ac:dyDescent="0.3">
      <c r="A22">
        <v>2</v>
      </c>
      <c r="B22">
        <v>6.6</v>
      </c>
      <c r="C22">
        <v>48</v>
      </c>
      <c r="D22" s="1">
        <v>2</v>
      </c>
      <c r="E22" s="1">
        <v>13.7</v>
      </c>
      <c r="F22" s="1">
        <v>57</v>
      </c>
    </row>
    <row r="23" spans="1:6" ht="15.75" thickBot="1" x14ac:dyDescent="0.3">
      <c r="A23">
        <v>4</v>
      </c>
      <c r="B23">
        <v>19.8</v>
      </c>
      <c r="C23">
        <v>41</v>
      </c>
      <c r="D23" s="1">
        <v>3</v>
      </c>
      <c r="E23" s="1">
        <v>12.6</v>
      </c>
      <c r="F23" s="1">
        <v>51</v>
      </c>
    </row>
    <row r="24" spans="1:6" ht="15.75" thickBot="1" x14ac:dyDescent="0.3">
      <c r="A24">
        <v>1</v>
      </c>
      <c r="B24">
        <v>7.8</v>
      </c>
      <c r="C24">
        <v>34</v>
      </c>
      <c r="D24" s="1">
        <v>1</v>
      </c>
      <c r="E24" s="1">
        <v>12.1</v>
      </c>
      <c r="F24" s="1">
        <v>43</v>
      </c>
    </row>
    <row r="25" spans="1:6" ht="15.75" thickBot="1" x14ac:dyDescent="0.3">
      <c r="A25">
        <v>2</v>
      </c>
      <c r="B25">
        <v>4.5999999999999996</v>
      </c>
      <c r="C25">
        <v>46</v>
      </c>
      <c r="D25" s="1">
        <v>2</v>
      </c>
      <c r="E25" s="1">
        <v>11.3</v>
      </c>
      <c r="F25" s="1">
        <v>40</v>
      </c>
    </row>
    <row r="26" spans="1:6" ht="15.75" thickBot="1" x14ac:dyDescent="0.3">
      <c r="A26">
        <v>0</v>
      </c>
      <c r="B26">
        <v>7.4</v>
      </c>
      <c r="C26">
        <v>45</v>
      </c>
      <c r="D26" s="1">
        <v>0</v>
      </c>
      <c r="E26" s="1">
        <v>12.5</v>
      </c>
      <c r="F26" s="1">
        <v>53</v>
      </c>
    </row>
    <row r="27" spans="1:6" ht="15.75" thickBot="1" x14ac:dyDescent="0.3">
      <c r="A27">
        <v>4</v>
      </c>
      <c r="B27">
        <v>5.5</v>
      </c>
      <c r="C27">
        <v>46</v>
      </c>
      <c r="D27" s="1">
        <v>2</v>
      </c>
      <c r="E27" s="1">
        <v>11.3</v>
      </c>
      <c r="F27" s="1">
        <v>40</v>
      </c>
    </row>
    <row r="28" spans="1:6" ht="15.75" thickBot="1" x14ac:dyDescent="0.3">
      <c r="A28">
        <v>3</v>
      </c>
      <c r="B28">
        <v>16.399999999999999</v>
      </c>
      <c r="C28">
        <v>53</v>
      </c>
      <c r="D28" s="1">
        <v>1</v>
      </c>
      <c r="E28" s="1">
        <v>10.5</v>
      </c>
      <c r="F28" s="1">
        <v>30</v>
      </c>
    </row>
    <row r="29" spans="1:6" ht="15.75" thickBot="1" x14ac:dyDescent="0.3">
      <c r="A29">
        <v>1</v>
      </c>
      <c r="B29">
        <v>7.6</v>
      </c>
      <c r="C29">
        <v>34</v>
      </c>
      <c r="D29" s="1">
        <v>2</v>
      </c>
      <c r="E29" s="1">
        <v>9.8000000000000007</v>
      </c>
      <c r="F29" s="1">
        <v>30</v>
      </c>
    </row>
    <row r="30" spans="1:6" ht="15.75" thickBot="1" x14ac:dyDescent="0.3">
      <c r="A30">
        <v>2</v>
      </c>
      <c r="B30">
        <v>4.9000000000000004</v>
      </c>
      <c r="C30">
        <v>55</v>
      </c>
      <c r="D30" s="1">
        <v>0</v>
      </c>
      <c r="E30" s="1">
        <v>10.1</v>
      </c>
      <c r="F30" s="1">
        <v>39</v>
      </c>
    </row>
    <row r="31" spans="1:6" ht="15.75" thickBot="1" x14ac:dyDescent="0.3">
      <c r="A31">
        <v>2</v>
      </c>
      <c r="B31">
        <v>4.2</v>
      </c>
      <c r="C31">
        <v>55</v>
      </c>
      <c r="D31" s="1">
        <v>4</v>
      </c>
      <c r="E31" s="1">
        <v>4.8</v>
      </c>
      <c r="F31" s="1">
        <v>60</v>
      </c>
    </row>
    <row r="32" spans="1:6" ht="15.75" thickBot="1" x14ac:dyDescent="0.3">
      <c r="A32">
        <v>1</v>
      </c>
      <c r="B32">
        <v>9</v>
      </c>
      <c r="C32">
        <v>37</v>
      </c>
      <c r="D32" s="1">
        <v>1</v>
      </c>
      <c r="E32" s="1">
        <v>12.9</v>
      </c>
      <c r="F32" s="1">
        <v>47</v>
      </c>
    </row>
    <row r="33" spans="1:6" ht="15.75" thickBot="1" x14ac:dyDescent="0.3">
      <c r="A33">
        <v>4</v>
      </c>
      <c r="B33">
        <v>9.1999999999999993</v>
      </c>
      <c r="C33">
        <v>39</v>
      </c>
      <c r="D33" s="1">
        <v>2</v>
      </c>
      <c r="E33" s="1">
        <v>13.1</v>
      </c>
      <c r="F33" s="1">
        <v>57</v>
      </c>
    </row>
    <row r="34" spans="1:6" ht="15.75" thickBot="1" x14ac:dyDescent="0.3">
      <c r="A34">
        <v>5</v>
      </c>
      <c r="B34">
        <v>4.5999999999999996</v>
      </c>
      <c r="C34">
        <v>49</v>
      </c>
      <c r="D34" s="1">
        <v>1</v>
      </c>
      <c r="E34" s="1">
        <v>7.9</v>
      </c>
      <c r="F34" s="1">
        <v>54</v>
      </c>
    </row>
    <row r="35" spans="1:6" ht="15.75" thickBot="1" x14ac:dyDescent="0.3">
      <c r="A35">
        <v>2</v>
      </c>
      <c r="B35">
        <v>6.4</v>
      </c>
      <c r="C35">
        <v>58</v>
      </c>
      <c r="D35" s="1">
        <v>1</v>
      </c>
      <c r="E35" s="1">
        <v>6.5</v>
      </c>
      <c r="F35" s="1">
        <v>51</v>
      </c>
    </row>
    <row r="36" spans="1:6" ht="15.75" thickBot="1" x14ac:dyDescent="0.3">
      <c r="A36">
        <v>2</v>
      </c>
      <c r="B36">
        <v>6</v>
      </c>
      <c r="C36">
        <v>41</v>
      </c>
      <c r="D36" s="1">
        <v>4</v>
      </c>
      <c r="E36" s="1">
        <v>13.2</v>
      </c>
      <c r="F36" s="1">
        <v>33</v>
      </c>
    </row>
    <row r="37" spans="1:6" ht="15.75" thickBot="1" x14ac:dyDescent="0.3">
      <c r="A37">
        <v>1</v>
      </c>
      <c r="B37">
        <v>10.5</v>
      </c>
      <c r="C37">
        <v>45</v>
      </c>
      <c r="D37" s="1">
        <v>2</v>
      </c>
      <c r="E37" s="1">
        <v>6.5</v>
      </c>
      <c r="F37" s="1">
        <v>38</v>
      </c>
    </row>
    <row r="38" spans="1:6" ht="15.75" thickBot="1" x14ac:dyDescent="0.3">
      <c r="A38">
        <v>2</v>
      </c>
      <c r="B38">
        <v>8.9</v>
      </c>
      <c r="C38">
        <v>55</v>
      </c>
      <c r="D38" s="1">
        <v>0</v>
      </c>
      <c r="E38" s="1">
        <v>4.7</v>
      </c>
      <c r="F38" s="1">
        <v>37</v>
      </c>
    </row>
    <row r="39" spans="1:6" ht="15.75" thickBot="1" x14ac:dyDescent="0.3">
      <c r="A39">
        <v>3</v>
      </c>
      <c r="B39">
        <v>12.1</v>
      </c>
      <c r="C39">
        <v>42</v>
      </c>
      <c r="D39" s="1">
        <v>0</v>
      </c>
      <c r="E39" s="1">
        <v>8</v>
      </c>
      <c r="F39" s="1">
        <v>46</v>
      </c>
    </row>
    <row r="40" spans="1:6" ht="15.75" thickBot="1" x14ac:dyDescent="0.3">
      <c r="A40">
        <v>4</v>
      </c>
      <c r="B40">
        <v>9.5</v>
      </c>
      <c r="C40">
        <v>53</v>
      </c>
      <c r="D40" s="1">
        <v>3</v>
      </c>
      <c r="E40" s="1">
        <v>13.9</v>
      </c>
      <c r="F40" s="1">
        <v>54</v>
      </c>
    </row>
    <row r="41" spans="1:6" ht="15.75" thickBot="1" x14ac:dyDescent="0.3">
      <c r="A41">
        <v>2</v>
      </c>
      <c r="B41">
        <v>9.1</v>
      </c>
      <c r="C41">
        <v>44</v>
      </c>
      <c r="D41" s="1">
        <v>0</v>
      </c>
      <c r="E41" s="1">
        <v>11.4</v>
      </c>
      <c r="F41" s="1">
        <v>58</v>
      </c>
    </row>
    <row r="42" spans="1:6" ht="15.75" thickBot="1" x14ac:dyDescent="0.3">
      <c r="A42">
        <v>3</v>
      </c>
      <c r="B42">
        <v>7.1</v>
      </c>
      <c r="C42">
        <v>54</v>
      </c>
      <c r="D42" s="1">
        <v>2</v>
      </c>
      <c r="E42" s="1">
        <v>9.3000000000000007</v>
      </c>
      <c r="F42" s="1">
        <v>59</v>
      </c>
    </row>
    <row r="43" spans="1:6" ht="15.75" thickBot="1" x14ac:dyDescent="0.3">
      <c r="A43">
        <v>3</v>
      </c>
      <c r="B43">
        <v>4.0999999999999996</v>
      </c>
      <c r="C43">
        <v>50</v>
      </c>
      <c r="D43" s="1">
        <v>1</v>
      </c>
      <c r="E43" s="1">
        <v>16.3</v>
      </c>
      <c r="F43" s="1">
        <v>34</v>
      </c>
    </row>
    <row r="44" spans="1:6" ht="15.75" thickBot="1" x14ac:dyDescent="0.3">
      <c r="A44">
        <v>3</v>
      </c>
      <c r="B44">
        <v>4.4000000000000004</v>
      </c>
      <c r="C44">
        <v>41</v>
      </c>
      <c r="D44" s="1">
        <v>4</v>
      </c>
      <c r="E44" s="1">
        <v>11.3</v>
      </c>
      <c r="F44" s="1">
        <v>37</v>
      </c>
    </row>
    <row r="45" spans="1:6" ht="15.75" thickBot="1" x14ac:dyDescent="0.3">
      <c r="A45">
        <v>1</v>
      </c>
      <c r="B45">
        <v>5.2</v>
      </c>
      <c r="C45">
        <v>49</v>
      </c>
      <c r="D45" s="1">
        <v>4</v>
      </c>
      <c r="E45" s="1">
        <v>7.9</v>
      </c>
      <c r="F45" s="1">
        <v>45</v>
      </c>
    </row>
    <row r="46" spans="1:6" ht="15.75" thickBot="1" x14ac:dyDescent="0.3">
      <c r="A46">
        <v>1</v>
      </c>
      <c r="B46">
        <v>4.2</v>
      </c>
      <c r="C46">
        <v>48</v>
      </c>
      <c r="D46" s="1">
        <v>1</v>
      </c>
      <c r="E46" s="1">
        <v>14</v>
      </c>
      <c r="F46" s="1">
        <v>39</v>
      </c>
    </row>
    <row r="47" spans="1:6" ht="15.75" thickBot="1" x14ac:dyDescent="0.3">
      <c r="A47">
        <v>1</v>
      </c>
      <c r="B47">
        <v>6.5</v>
      </c>
      <c r="C47">
        <v>49</v>
      </c>
      <c r="D47" s="1">
        <v>1</v>
      </c>
      <c r="E47" s="1">
        <v>28</v>
      </c>
      <c r="F47" s="1">
        <v>56</v>
      </c>
    </row>
    <row r="48" spans="1:6" ht="15.75" thickBot="1" x14ac:dyDescent="0.3">
      <c r="A48">
        <v>2</v>
      </c>
      <c r="B48">
        <v>6.8</v>
      </c>
      <c r="C48">
        <v>46</v>
      </c>
      <c r="D48" s="1">
        <v>1</v>
      </c>
      <c r="E48" s="1">
        <v>6.5</v>
      </c>
      <c r="F48" s="1">
        <v>40</v>
      </c>
    </row>
    <row r="49" spans="1:6" ht="15.75" thickBot="1" x14ac:dyDescent="0.3">
      <c r="D49" s="1">
        <v>1</v>
      </c>
      <c r="E49" s="1">
        <v>9.8000000000000007</v>
      </c>
      <c r="F49" s="1">
        <v>41</v>
      </c>
    </row>
    <row r="50" spans="1:6" ht="15.75" thickBot="1" x14ac:dyDescent="0.3">
      <c r="D50" s="1">
        <v>1</v>
      </c>
      <c r="E50" s="1">
        <v>14.2</v>
      </c>
      <c r="F50" s="1">
        <v>54</v>
      </c>
    </row>
    <row r="51" spans="1:6" ht="15.75" thickBot="1" x14ac:dyDescent="0.3">
      <c r="D51" s="1">
        <v>1</v>
      </c>
      <c r="E51" s="1">
        <v>10.7</v>
      </c>
      <c r="F51" s="1">
        <v>59</v>
      </c>
    </row>
    <row r="52" spans="1:6" ht="15.75" thickBot="1" x14ac:dyDescent="0.3">
      <c r="D52" s="1">
        <v>3</v>
      </c>
      <c r="E52" s="1">
        <v>10</v>
      </c>
      <c r="F52" s="1">
        <v>58</v>
      </c>
    </row>
    <row r="53" spans="1:6" ht="15.75" thickBot="1" x14ac:dyDescent="0.3">
      <c r="D53" s="1">
        <v>0</v>
      </c>
      <c r="E53" s="1">
        <v>12</v>
      </c>
      <c r="F53" s="1">
        <v>39</v>
      </c>
    </row>
    <row r="54" spans="1:6" ht="15.75" thickBot="1" x14ac:dyDescent="0.3">
      <c r="D54" s="1">
        <v>1</v>
      </c>
      <c r="E54" s="1">
        <v>23</v>
      </c>
      <c r="F54" s="1">
        <v>43</v>
      </c>
    </row>
    <row r="55" spans="1:6" x14ac:dyDescent="0.25">
      <c r="A55">
        <f>AVERAGE(A2:A48)</f>
        <v>2.1276595744680851</v>
      </c>
      <c r="B55">
        <f t="shared" ref="B55:C55" si="0">AVERAGE(B2:B48)</f>
        <v>7.1297872340425545</v>
      </c>
      <c r="C55">
        <f t="shared" si="0"/>
        <v>44.978723404255319</v>
      </c>
      <c r="D55">
        <f>AVERAGE(D2:D54)</f>
        <v>1.679245283018868</v>
      </c>
      <c r="E55">
        <f t="shared" ref="E55:F55" si="1">AVERAGE(E2:E54)</f>
        <v>11.388679245283019</v>
      </c>
      <c r="F55">
        <f t="shared" si="1"/>
        <v>47.339622641509436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vt:lpstr>
      <vt:lpstr>Val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Akbar Rizki</dc:creator>
  <cp:lastModifiedBy>Alden Nabil</cp:lastModifiedBy>
  <dcterms:created xsi:type="dcterms:W3CDTF">2025-11-13T05:27:56Z</dcterms:created>
  <dcterms:modified xsi:type="dcterms:W3CDTF">2025-11-16T12:21:07Z</dcterms:modified>
</cp:coreProperties>
</file>